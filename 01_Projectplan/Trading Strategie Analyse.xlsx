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03_Git\02_Python\07_Orderpilot_Portabel2\01_Projectplan\"/>
    </mc:Choice>
  </mc:AlternateContent>
  <xr:revisionPtr revIDLastSave="0" documentId="13_ncr:1_{BF01A6EC-EE98-49BB-8FBE-BC05937EDE80}" xr6:coauthVersionLast="47" xr6:coauthVersionMax="47" xr10:uidLastSave="{00000000-0000-0000-0000-000000000000}"/>
  <bookViews>
    <workbookView xWindow="-120" yWindow="-120" windowWidth="29040" windowHeight="15720" activeTab="1" xr2:uid="{00000000-000D-0000-FFFF-FFFF00000000}"/>
  </bookViews>
  <sheets>
    <sheet name="Ranking" sheetId="1" r:id="rId1"/>
    <sheet name="Ranking (Gap bereinig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2" l="1"/>
  <c r="K68" i="2"/>
  <c r="K54" i="2"/>
  <c r="K51" i="2"/>
  <c r="K47" i="2"/>
  <c r="K45" i="2"/>
  <c r="K44" i="2"/>
  <c r="K31" i="2"/>
  <c r="K28" i="2"/>
  <c r="K26" i="2"/>
  <c r="K19" i="2"/>
  <c r="K13" i="2"/>
  <c r="K9" i="2"/>
  <c r="K70" i="1"/>
  <c r="K68" i="1"/>
  <c r="K54" i="1"/>
  <c r="K51" i="1"/>
  <c r="K48" i="1"/>
  <c r="K46" i="1"/>
  <c r="K32" i="1"/>
  <c r="K30" i="1"/>
  <c r="K28" i="1"/>
  <c r="K26" i="1"/>
  <c r="K20" i="1"/>
  <c r="K14" i="1"/>
  <c r="K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000-000001000000}">
      <text>
        <r>
          <rPr>
            <sz val="10"/>
            <color rgb="FF000000"/>
            <rFont val="Arial"/>
            <scheme val="minor"/>
          </rPr>
          <t>= Gibt an, mit welchem "Zeitfenster" getestet wurde, z.B. 5 min, 1h, D</t>
        </r>
      </text>
    </comment>
    <comment ref="E2" authorId="0" shapeId="0" xr:uid="{00000000-0006-0000-0000-000002000000}">
      <text>
        <r>
          <rPr>
            <sz val="10"/>
            <color rgb="FF000000"/>
            <rFont val="Arial"/>
            <scheme val="minor"/>
          </rPr>
          <t>= Gibt das Verhältnis zwischen dem bei Positionseingang maximalen Risiko und dem erwarteten Gewinn an, z.B. ein RR von 1:1,5 bedeutet, ich riskiere bei einem Trade 1% meines Accounts, erwarte im positiven Fall aber ein Wachstum von 1,5%.</t>
        </r>
      </text>
    </comment>
    <comment ref="F2" authorId="0" shapeId="0" xr:uid="{00000000-0006-0000-0000-000003000000}">
      <text>
        <r>
          <rPr>
            <sz val="10"/>
            <color rgb="FF000000"/>
            <rFont val="Arial"/>
            <scheme val="minor"/>
          </rPr>
          <t>= Gibt an, wie lange es gedauert hat, bis 100 Trades durchgeführt/gefunden wurden.</t>
        </r>
      </text>
    </comment>
    <comment ref="G2" authorId="0" shapeId="0" xr:uid="{00000000-0006-0000-0000-000004000000}">
      <text>
        <r>
          <rPr>
            <sz val="10"/>
            <color rgb="FF000000"/>
            <rFont val="Arial"/>
            <scheme val="minor"/>
          </rPr>
          <t>= Gibt das Verhältnis der gewonnenen Trades zu der Summe aller Trades an.
Beispiel: Wenn von insgesamt 100 Trades 63 Trades gewonnen wurden, dann beträgt die Win Rate 63%.</t>
        </r>
      </text>
    </comment>
    <comment ref="H2" authorId="0" shapeId="0" xr:uid="{00000000-0006-0000-0000-000005000000}">
      <text>
        <r>
          <rPr>
            <sz val="10"/>
            <color rgb="FF000000"/>
            <rFont val="Arial"/>
            <scheme val="minor"/>
          </rPr>
          <t>= Gibt den Return auf den Account nach 100 Trades an.
Es wird ein Risiko pro Trade von 2% angenommen, d.h. bei einem RR von 1:1,5 können 2% Verlust oder 3% Gewinn erwartet werden.
Profit &lt;= 5% - schlecht
Profit &lt;= 25% - durchschnittlich
Profit &lt;= 100% - gut
Profit &gt; 100% - exzellent
Hinweis: Spreads, Fees, Commisions und Steuern werden nicht berücksichtigt!</t>
        </r>
      </text>
    </comment>
    <comment ref="I2" authorId="0" shapeId="0" xr:uid="{00000000-0006-0000-0000-000006000000}">
      <text>
        <r>
          <rPr>
            <sz val="10"/>
            <color rgb="FF000000"/>
            <rFont val="Arial"/>
            <scheme val="minor"/>
          </rPr>
          <t>= Gibt den größten Verlust während eines bestimmten Zeitraums einer Handelsstrategie an.
Der maximale Drawdown (MDD) wird üblicherweise in Prozent angegeben.
MDD &lt;= 8% - exzellent
MDD &lt;= 14% - gut
MDD &lt;= 20% - durchschnittlich
MDD &gt; 20% - schlecht
Es ist wichtig zu beachten, dass es sich hierbei nur um allgemeine Richtwerte handelt und der tatsächliche Drawdown, der als akzeptabel angesehen wird, von der Risikotoleranz und den Anlagezielen des einzelnen Anlegers abhängt. Ein aggressiverer Trader kann beispielsweise bereit sein, einen höheren maximalen Drawdown in Kauf zu nehmen, um höhere potenzielle Erträge zu erzielen.</t>
        </r>
      </text>
    </comment>
    <comment ref="J2" authorId="0" shapeId="0" xr:uid="{00000000-0006-0000-0000-000007000000}">
      <text>
        <r>
          <rPr>
            <sz val="10"/>
            <color rgb="FF000000"/>
            <rFont val="Arial"/>
            <scheme val="minor"/>
          </rPr>
          <t>= Gibt das Verhältnis zwischen Gewinn und Verlust in einem Handelszeitraum an, um die Rentabilität zu bewerten.
PF &lt;= 1,25 - schlecht
PF &lt;= 1,75 - durchschnittlich
PF &lt;= 2,25 - gut
PF &gt; 2,25 - exzellent</t>
        </r>
      </text>
    </comment>
    <comment ref="K2" authorId="0" shapeId="0" xr:uid="{00000000-0006-0000-0000-000008000000}">
      <text>
        <r>
          <rPr>
            <sz val="10"/>
            <color rgb="FF000000"/>
            <rFont val="Arial"/>
            <scheme val="minor"/>
          </rPr>
          <t>= Gibt die durchschnittliche jährliche Rendite einer Handelstrategie an.
Beispiel: Eine Strategie erzielt 50% Profit über ein Zeitraum von 2 Jahren. Dann ist der AAR genau 25%.
AAR &lt;= 5% - schlecht
AAR &lt;= 25% - durchschnittlich
AAR &lt;= 100% - gut
AAR &gt; 100% - exzellent
Wichtiger Hinweis: 
Hohe Renditen über sehr kurze Zeiträume können zu unrealistisch hohen jährlichen Renditen führen!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Gibt an, mit welchem "Zeitfenster" getestet wurde, z.B. 5 min, 1h, D</t>
        </r>
      </text>
    </comment>
    <comment ref="E2" authorId="0" shapeId="0" xr:uid="{00000000-0006-0000-0100-000002000000}">
      <text>
        <r>
          <rPr>
            <sz val="10"/>
            <color rgb="FF000000"/>
            <rFont val="Arial"/>
            <scheme val="minor"/>
          </rPr>
          <t>= Gibt das Verhältnis zwischen dem bei Positionseingang maximalen Risiko und dem erwarteten Gewinn an, z.B. ein RR von 1:1,5 bedeutet, ich riskiere bei einem Trade 1% meines Accounts, erwarte im positiven Fall aber ein Wachstum von 1,5%.</t>
        </r>
      </text>
    </comment>
    <comment ref="F2" authorId="0" shapeId="0" xr:uid="{00000000-0006-0000-0100-000003000000}">
      <text>
        <r>
          <rPr>
            <sz val="10"/>
            <color rgb="FF000000"/>
            <rFont val="Arial"/>
            <scheme val="minor"/>
          </rPr>
          <t>= Gibt an, wie lange es gedauert hat, bis 100 Trades durchgeführt/gefunden wurden.</t>
        </r>
      </text>
    </comment>
    <comment ref="G2" authorId="0" shapeId="0" xr:uid="{00000000-0006-0000-0100-000004000000}">
      <text>
        <r>
          <rPr>
            <sz val="10"/>
            <color rgb="FF000000"/>
            <rFont val="Arial"/>
            <scheme val="minor"/>
          </rPr>
          <t>= Gibt das Verhältnis der gewonnenen Trades zu der Summe aller Trades an.
Beispiel: Wenn von insgesamt 100 Trades 63 Trades gewonnen wurden, dann beträgt die Win Rate 63%.</t>
        </r>
      </text>
    </comment>
    <comment ref="H2" authorId="0" shapeId="0" xr:uid="{00000000-0006-0000-0100-000005000000}">
      <text>
        <r>
          <rPr>
            <sz val="10"/>
            <color rgb="FF000000"/>
            <rFont val="Arial"/>
            <scheme val="minor"/>
          </rPr>
          <t>= Gibt den Return auf den Account nach 100 Trades an.
Es wird ein Risiko pro Trade von 2% angenommen, d.h. bei einem RR von 1:1,5 können 2% Verlust oder 3% Gewinn erwartet werden.
Profit &lt;= 5% - schlecht
Profit &lt;= 25% - durchschnittlich
Profit &lt;= 100% - gut
Profit &gt; 100% - exzellent
Hinweis: Spreads, Fees, Commisions und Steuern werden nicht berücksichtigt!</t>
        </r>
      </text>
    </comment>
    <comment ref="I2" authorId="0" shapeId="0" xr:uid="{00000000-0006-0000-0100-000006000000}">
      <text>
        <r>
          <rPr>
            <sz val="10"/>
            <color rgb="FF000000"/>
            <rFont val="Arial"/>
            <scheme val="minor"/>
          </rPr>
          <t>= Gibt den größten Verlust während eines bestimmten Zeitraums einer Handelsstrategie an.
Der maximale Drawdown (MDD) wird üblicherweise in Prozent angegeben.
MDD &lt;= 8% - exzellent
MDD &lt;= 14% - gut
MDD &lt;= 20% - durchschnittlich
MDD &gt; 20% - schlecht
Es ist wichtig zu beachten, dass es sich hierbei nur um allgemeine Richtwerte handelt und der tatsächliche Drawdown, der als akzeptabel angesehen wird, von der Risikotoleranz und den Anlagezielen des einzelnen Anlegers abhängt. Ein aggressiverer Trader kann beispielsweise bereit sein, einen höheren maximalen Drawdown in Kauf zu nehmen, um höhere potenzielle Erträge zu erzielen.</t>
        </r>
      </text>
    </comment>
    <comment ref="J2" authorId="0" shapeId="0" xr:uid="{00000000-0006-0000-0100-000007000000}">
      <text>
        <r>
          <rPr>
            <sz val="10"/>
            <color rgb="FF000000"/>
            <rFont val="Arial"/>
            <scheme val="minor"/>
          </rPr>
          <t>= Gibt das Verhältnis zwischen Gewinn und Verlust in einem Handelszeitraum an, um die Rentabilität zu bewerten.
PF &lt;= 1,25 - schlecht
PF &lt;= 1,75 - durchschnittlich
PF &lt;= 2,25 - gut
PF &gt; 2,25 - exzellent</t>
        </r>
      </text>
    </comment>
    <comment ref="K2" authorId="0" shapeId="0" xr:uid="{00000000-0006-0000-0100-000008000000}">
      <text>
        <r>
          <rPr>
            <sz val="10"/>
            <color rgb="FF000000"/>
            <rFont val="Arial"/>
            <scheme val="minor"/>
          </rPr>
          <t>= Gibt die durchschnittliche jährliche Rendite einer Handelstrategie an.
Beispiel: Eine Strategie erzielt 50% Profit über ein Zeitraum von 2 Jahren. Dann ist der AAR genau 25%.
AAR &lt;= 5% - schlecht
AAR &lt;= 25% - durchschnittlich
AAR &lt;= 100% - gut
AAR &gt; 100% - exzellent
Wichtiger Hinweis: 
Hohe Renditen über sehr kurze Zeiträume können zu unrealistisch hohen jährlichen Renditen führen!</t>
        </r>
      </text>
    </comment>
  </commentList>
</comments>
</file>

<file path=xl/sharedStrings.xml><?xml version="1.0" encoding="utf-8"?>
<sst xmlns="http://schemas.openxmlformats.org/spreadsheetml/2006/main" count="886" uniqueCount="287">
  <si>
    <t>Platz</t>
  </si>
  <si>
    <t>Name des Videos</t>
  </si>
  <si>
    <t>Time Frame</t>
  </si>
  <si>
    <t>R:R</t>
  </si>
  <si>
    <t>Zeitraum</t>
  </si>
  <si>
    <t>Win Rate</t>
  </si>
  <si>
    <t>Profit nach 100 Trades</t>
  </si>
  <si>
    <t>Max. Drawdown</t>
  </si>
  <si>
    <t>Profitfaktor</t>
  </si>
  <si>
    <t>Average Annual Return</t>
  </si>
  <si>
    <t>Link zum Video</t>
  </si>
  <si>
    <t>Legende</t>
  </si>
  <si>
    <t>Platz 1 Strategie UPDATE: 192% Profit mit Flux Charts Price Action Toolkit</t>
  </si>
  <si>
    <t>15 min</t>
  </si>
  <si>
    <t>1:3</t>
  </si>
  <si>
    <t>756 Tage</t>
  </si>
  <si>
    <t>46% WR</t>
  </si>
  <si>
    <t>https://youtu.be/kcPEOf2Gn20</t>
  </si>
  <si>
    <t>exzellent</t>
  </si>
  <si>
    <t>176% Profit mit Flux Charts? Der SFX Algo auf dem Prüfstand: 400 Trades später</t>
  </si>
  <si>
    <t>317 Tage</t>
  </si>
  <si>
    <t>42% WR</t>
  </si>
  <si>
    <t>https://youtu.be/xgGYseIfO7U</t>
  </si>
  <si>
    <t>gut</t>
  </si>
  <si>
    <t>Triple Momentum Premium Indikator: Echte Gewinne oder Abzocke?</t>
  </si>
  <si>
    <t>5 min</t>
  </si>
  <si>
    <t>74 Tage</t>
  </si>
  <si>
    <t>39,02% WR</t>
  </si>
  <si>
    <t>https://youtu.be/_F7HDlraaPg</t>
  </si>
  <si>
    <t>durchschnittlich</t>
  </si>
  <si>
    <t>Optimierte ChatGPT Trading Strategie: 144% Profit nach 100 Trades</t>
  </si>
  <si>
    <t>1h</t>
  </si>
  <si>
    <t>733 Tage</t>
  </si>
  <si>
    <t>43% WR</t>
  </si>
  <si>
    <t>https://youtu.be/bGczdJ3qy6o</t>
  </si>
  <si>
    <t>schlecht</t>
  </si>
  <si>
    <t>Die "Holy Grail" Strategie ist unvollständig – also habe ich sie auf 144% Profit verbessert</t>
  </si>
  <si>
    <t>D</t>
  </si>
  <si>
    <t>12784 Tage</t>
  </si>
  <si>
    <t>https://youtu.be/TOxkaO8g4Eg</t>
  </si>
  <si>
    <t>Fibo Cross Premium Indikator: Echte Gewinne oder Abzocke?</t>
  </si>
  <si>
    <t>320 Tage</t>
  </si>
  <si>
    <t>https://youtu.be/HNNJMUta6Rg</t>
  </si>
  <si>
    <t>Ich teste Kaspareit's beste Trendfolge-Strategie für Aktien 100 mal (und verbessere diese!)</t>
  </si>
  <si>
    <t>2h</t>
  </si>
  <si>
    <t>1:2</t>
  </si>
  <si>
    <t>3949 Tage</t>
  </si>
  <si>
    <t>56% WR</t>
  </si>
  <si>
    <t>https://youtu.be/YgOdzJkBIGA</t>
  </si>
  <si>
    <t>Die Ultimative Swing Trading Strategie: So erzielst du 136% Profit mit Trendlinien</t>
  </si>
  <si>
    <t>2737 Tage</t>
  </si>
  <si>
    <t>https://youtu.be/j7cRV6IAw3Q</t>
  </si>
  <si>
    <t>130% Profit nach 29 Tagen mit Andean Oscillator | Bitcoin Scalping Strategie</t>
  </si>
  <si>
    <t>1 min</t>
  </si>
  <si>
    <t>29 Tage</t>
  </si>
  <si>
    <t>55% WR</t>
  </si>
  <si>
    <t>https://youtu.be/IuB19gRhfHU</t>
  </si>
  <si>
    <t>Swing Catcher Premium Indikator: Echte Gewinne oder Abzocke?</t>
  </si>
  <si>
    <t>60 Tage</t>
  </si>
  <si>
    <t>https://youtu.be/4xEF4T4RT4k</t>
  </si>
  <si>
    <t>Ichimoku Cloud Retest: KI-optimierte Trading Strategie für 130% Profit – So klappt’s!</t>
  </si>
  <si>
    <t>760 Tage</t>
  </si>
  <si>
    <t>https://youtu.be/qqbGvb0pjrI</t>
  </si>
  <si>
    <t>Erfolgreiche Swing Trading Strategie: 124% Profit in nur 100 Trades!</t>
  </si>
  <si>
    <t>8030 Tage</t>
  </si>
  <si>
    <t>54% WR</t>
  </si>
  <si>
    <t>https://youtu.be/Ul5H3wIEHtU</t>
  </si>
  <si>
    <t>UT Bot Alerts: Ich teste die beste Scalping Strategie (und verbessere diese!)</t>
  </si>
  <si>
    <t>66 Tage</t>
  </si>
  <si>
    <t>53% WR</t>
  </si>
  <si>
    <t>https://youtu.be/_IXwe_2PZE8</t>
  </si>
  <si>
    <t>Ich teste TradeIQ's 128%-Strategie: Sie hat ein riesiges Problem... (also verbessere ich sie)</t>
  </si>
  <si>
    <t>108 Tage</t>
  </si>
  <si>
    <t>40% WR</t>
  </si>
  <si>
    <t>https://youtu.be/02IDCLcIMTc</t>
  </si>
  <si>
    <t>ICT Silver Bullet Strategie erzielt ___€ Profit nach 100 Trades</t>
  </si>
  <si>
    <t>3 min</t>
  </si>
  <si>
    <t>85 Tage</t>
  </si>
  <si>
    <t>39% WR</t>
  </si>
  <si>
    <t>https://youtu.be/uTDHMWsvXTc</t>
  </si>
  <si>
    <t>Ich testete die ORB-Strategie 100× – DAS kam dabei raus</t>
  </si>
  <si>
    <t>267 Tage</t>
  </si>
  <si>
    <t>https://youtu.be/L-NaoGbwxR4</t>
  </si>
  <si>
    <t>T3 Oscillator: Zwischen Hype und Wahrheit – 100 Trades im Test!</t>
  </si>
  <si>
    <t>30 min</t>
  </si>
  <si>
    <t>754 Tage</t>
  </si>
  <si>
    <t>https://youtu.be/cpnaAiKPs6k</t>
  </si>
  <si>
    <t>Optimierte MACD Trading Strategie: Erhöhe dein Profit von 64% auf 112%</t>
  </si>
  <si>
    <t>1095 Tage</t>
  </si>
  <si>
    <t>52% WR</t>
  </si>
  <si>
    <t>https://youtu.be/ZQnmmZFA7I0</t>
  </si>
  <si>
    <t>Live Trading Challenge 2025: Kann ich 112% erreichen? | 10k Abo Special</t>
  </si>
  <si>
    <t>variabel</t>
  </si>
  <si>
    <t>2829 Tage</t>
  </si>
  <si>
    <t>https://youtu.be/sCO0knyuZcM</t>
  </si>
  <si>
    <t>Bollinger Bänder + RSI: Kann man mit Standardindikatoren wirklich profitabel traden?</t>
  </si>
  <si>
    <t>284 Tage</t>
  </si>
  <si>
    <t>38% WR</t>
  </si>
  <si>
    <t>https://youtu.be/5EP3EBy7AGo</t>
  </si>
  <si>
    <t>10x mehr PROFIT mit gleichem Indikator: Diese Anpassungen machen den Unterschied!</t>
  </si>
  <si>
    <t>273 Tage</t>
  </si>
  <si>
    <t>51% WR</t>
  </si>
  <si>
    <t>https://youtu.be/R1SDKPNrSsA</t>
  </si>
  <si>
    <t>Neuer Smart Money Indikator auf Tradingview: Überzeugt er im Test?</t>
  </si>
  <si>
    <t>492 Tage</t>
  </si>
  <si>
    <t>https://youtu.be/ebuUbNFZZbw</t>
  </si>
  <si>
    <t>Casper SMC verspricht $41.899,50/Tag... (Realität nach 100 Trades)</t>
  </si>
  <si>
    <t>517 Tage</t>
  </si>
  <si>
    <t>50% WR</t>
  </si>
  <si>
    <t>über Patreon bereits verfügbar</t>
  </si>
  <si>
    <t>Volumenstrategie: So nutzt Du VWAP und Volumenprofil für erfolgreiche Trades</t>
  </si>
  <si>
    <t>1:1,5</t>
  </si>
  <si>
    <t>260 Tage</t>
  </si>
  <si>
    <t>https://youtu.be/zeJS976F0hQ</t>
  </si>
  <si>
    <t>Ist das noch legal? Breakout + Volumen fühlt sich wie CHEATEN an!</t>
  </si>
  <si>
    <t>649 Tage</t>
  </si>
  <si>
    <t>37% WR</t>
  </si>
  <si>
    <t>https://youtu.be/x6SooFMyPH8</t>
  </si>
  <si>
    <t>Trendfolge Strategie mit ADX, Moving Averages und Trendmeter: 94% Profit in 99 Tagen</t>
  </si>
  <si>
    <t>99 Tage</t>
  </si>
  <si>
    <t>49% WR</t>
  </si>
  <si>
    <t>https://youtu.be/gSp7qRrf5nY</t>
  </si>
  <si>
    <t>Virale Breakout Trading Strategie 100x getestet und verbessert!</t>
  </si>
  <si>
    <t>115 Tage</t>
  </si>
  <si>
    <t>https://youtu.be/eSXop_6TXRs</t>
  </si>
  <si>
    <t>Durchbruch im Trading: 100x getestete Ichimoku Cloud Strategie mit unglaublichen Ergebnis!</t>
  </si>
  <si>
    <t>1 h</t>
  </si>
  <si>
    <t>334 Tage</t>
  </si>
  <si>
    <t>https://youtu.be/nZsEsRd6OTQ</t>
  </si>
  <si>
    <t>Machine Learning Indikator liefert profitable Signale (mit Optimierung!)</t>
  </si>
  <si>
    <t>558 Tage</t>
  </si>
  <si>
    <t>https://youtu.be/r5USVdNKb9U</t>
  </si>
  <si>
    <t>Trading Strategie mit 100% Genauigkeit für Trendreversals getestet: Überraschendes Ergebnis!</t>
  </si>
  <si>
    <t>45 Tage</t>
  </si>
  <si>
    <t>58% WR</t>
  </si>
  <si>
    <t>https://youtu.be/kq_PnZbuhc0</t>
  </si>
  <si>
    <t>EMA + BB + MACD: Upgrade einer Zuschauer-Strategie auf 88% Profit!</t>
  </si>
  <si>
    <t>803 Tage</t>
  </si>
  <si>
    <t>48% WR</t>
  </si>
  <si>
    <t>https://youtu.be/Y3t-uAXUlA8</t>
  </si>
  <si>
    <t>Supertrend ade! Dieser Trading-Indikator ist 10x besser...</t>
  </si>
  <si>
    <t>13 Tage</t>
  </si>
  <si>
    <t>https://youtu.be/Wjj3n60-uAg</t>
  </si>
  <si>
    <t>100 Trades OHNE Stop Loss! Dieses Ergebnis wird dich überraschen...</t>
  </si>
  <si>
    <t>50 Tage</t>
  </si>
  <si>
    <t>https://youtu.be/7kyhnB7vK1U</t>
  </si>
  <si>
    <t>Trendfolge Strategie - Maximale Gewinne mit dem richtigen Take Profit und Stop Loss</t>
  </si>
  <si>
    <t>316 Tage</t>
  </si>
  <si>
    <t>https://youtu.be/6EGOe6NxzGg</t>
  </si>
  <si>
    <t>MACD Divergence Indikator: 100 Trades im Test - So viel Profit ist möglich!</t>
  </si>
  <si>
    <t>4 h</t>
  </si>
  <si>
    <t>3435 Tage</t>
  </si>
  <si>
    <t>https://youtu.be/hP4kJEcUhUo</t>
  </si>
  <si>
    <t>FTMO VWAP Strategie: Nur 17% Profit? Ich mache sie profitabel!</t>
  </si>
  <si>
    <t>1:2,5</t>
  </si>
  <si>
    <t>63 Tage</t>
  </si>
  <si>
    <t>41% WR</t>
  </si>
  <si>
    <t>https://youtu.be/bM5mxPPnaKU</t>
  </si>
  <si>
    <t>Ich habe Krypto Claudius' 1-Minuten Scalping Strategie 100x getestet – DAS ist passiert!</t>
  </si>
  <si>
    <t>10 Tage</t>
  </si>
  <si>
    <t>47% WR</t>
  </si>
  <si>
    <t>https://youtu.be/Y_negcsfTWo</t>
  </si>
  <si>
    <t>Ich teste 846% Profit TDI Trading Strategie (und verbessere diese!)</t>
  </si>
  <si>
    <t>1788 Tage</t>
  </si>
  <si>
    <t>35% WR</t>
  </si>
  <si>
    <t>https://youtu.be/cMU1L_OJfEI</t>
  </si>
  <si>
    <t>CM Williams Vix Fix: 15 Gewinne in Folge bei 100 Trades?</t>
  </si>
  <si>
    <t>2 h</t>
  </si>
  <si>
    <t>2440 Tage</t>
  </si>
  <si>
    <t>https://youtu.be/kdaaFkKq9nE</t>
  </si>
  <si>
    <t>2 Indikatoren, 1 Strategie: Adaptive Kalman Filter 100x getestet (und "verbessert"!)</t>
  </si>
  <si>
    <t>286 Tage</t>
  </si>
  <si>
    <t>45% WR</t>
  </si>
  <si>
    <t>https://youtu.be/VR4iZeGqMaU</t>
  </si>
  <si>
    <t>100% Win Rate - ALMA Smoothed Gaussian Moving Average macht es möglich?</t>
  </si>
  <si>
    <t>149 Tage</t>
  </si>
  <si>
    <t>https://youtu.be/O_ZNX5xsqYI</t>
  </si>
  <si>
    <t>Die beste Trendlinien Breakout Strategie von LuxAlgo: 100 mal getestet (mit Optimierung)</t>
  </si>
  <si>
    <t>411 Tage</t>
  </si>
  <si>
    <t>https://youtu.be/-zFYJ4EzFLw</t>
  </si>
  <si>
    <t>Preisgekrönte Strategie von Rob Hoffman: 100 mal getestet (mit Optimierung)</t>
  </si>
  <si>
    <t>226 Tage</t>
  </si>
  <si>
    <t>https://youtu.be/Oi4Ih7G7vgE</t>
  </si>
  <si>
    <t>Profitable ChatGPT Daytrading Strategie: Schlägt den Markt nach 100 Trades</t>
  </si>
  <si>
    <t>486 Tage</t>
  </si>
  <si>
    <t>https://youtu.be/ap5Xo19zWoQ</t>
  </si>
  <si>
    <t>100 Trades mit dem "Beast"-Indikator: Funktioniert er wirklich?</t>
  </si>
  <si>
    <t>973 Tage</t>
  </si>
  <si>
    <t>https://youtu.be/57_4Tum0OeY</t>
  </si>
  <si>
    <t>140% Profit mit QQE Mod | Einfache Scalping Strategie im 5-Minuten-Chart</t>
  </si>
  <si>
    <t>31 Tage</t>
  </si>
  <si>
    <t>https://youtu.be/Dq9R3tMRwWs</t>
  </si>
  <si>
    <t>MACD, RSI &amp; Stochastic: Diese STANDARD-Trading-Strategie liefert überraschende Ergebnisse!</t>
  </si>
  <si>
    <t>59 Tage</t>
  </si>
  <si>
    <t>https://youtu.be/qgQNHtjdQH4</t>
  </si>
  <si>
    <t>Ein Zuschauer schickt mir seine Strategie: 45% Profit in 5 Tagen – Kann das funktionieren?</t>
  </si>
  <si>
    <t>79 Tage</t>
  </si>
  <si>
    <t>https://youtu.be/ZkqXcJbbQwM</t>
  </si>
  <si>
    <t>BESTER Tradingview INDIKATOR: Überraschendes Ergebnis nach 100 Trades</t>
  </si>
  <si>
    <t>367 Tage</t>
  </si>
  <si>
    <t>https://youtu.be/chU98NNi7aQ</t>
  </si>
  <si>
    <t>EXAKTE Kauf- &amp; Verkaufssignale? Ich teste diesen Oszillator Indikator!</t>
  </si>
  <si>
    <t>4h</t>
  </si>
  <si>
    <t>3963 Tage</t>
  </si>
  <si>
    <t>https://youtu.be/O5hXRlTmgMQ</t>
  </si>
  <si>
    <t>One Candle Strategy: Von 40% Drawdown zu 63% Profit (100 Trades)</t>
  </si>
  <si>
    <t>55 Tage</t>
  </si>
  <si>
    <t>44% WR</t>
  </si>
  <si>
    <t>https://youtu.be/9Feo4_icJ-Q</t>
  </si>
  <si>
    <t>Forecast-Indikator: Gewinnbringende Prognosen für zukünftige Marktbewegungen</t>
  </si>
  <si>
    <t>200 Tage</t>
  </si>
  <si>
    <t>https://youtu.be/ph6iSbBsBXw</t>
  </si>
  <si>
    <t>100 Trades mit einfacher Moving Average Strategie: So profitabel ist sie wirklich!</t>
  </si>
  <si>
    <t>503 Tage</t>
  </si>
  <si>
    <t>https://youtu.be/yb0sZrqCpLo</t>
  </si>
  <si>
    <t>Ich teste die beste Bitcoin Scalping Strategie von Hoss 100 mal (und verbessere diese!)</t>
  </si>
  <si>
    <t>7,5 Tage</t>
  </si>
  <si>
    <t>https://youtu.be/GPqpFphA_S0</t>
  </si>
  <si>
    <t>76% Win Rate | Die 1:1 RR Divergenz-Strategie (Backtest mit 100 Trades!)</t>
  </si>
  <si>
    <t>1:1</t>
  </si>
  <si>
    <t>382 Tage</t>
  </si>
  <si>
    <t>62% WR</t>
  </si>
  <si>
    <t>https://youtu.be/lvuncUhjNxo</t>
  </si>
  <si>
    <t>347% Profit in 2 Wochen - Diese Strategie macht Dich unglaublich nicht reich!</t>
  </si>
  <si>
    <t>72 Tage</t>
  </si>
  <si>
    <t>https://youtu.be/GR0o7cP9KRY</t>
  </si>
  <si>
    <t>93,2% genaue Kauf- und Verkaufssignale mit dieser Strategie in 2024 möglich?</t>
  </si>
  <si>
    <t>217 Tage</t>
  </si>
  <si>
    <t>https://youtu.be/_xM8fZBziYY</t>
  </si>
  <si>
    <t>Vumanchu Cipher B: 2 Strategien, 100 Trades – enttäuschend oder profitabel?</t>
  </si>
  <si>
    <t>https://youtu.be/wumaBXsn18k</t>
  </si>
  <si>
    <t>$150.000 Profit? Ich habe TJR's Strategie 100x getestet (Da stimmt was nicht)</t>
  </si>
  <si>
    <t>1:1,75</t>
  </si>
  <si>
    <t>118 Tage</t>
  </si>
  <si>
    <t>https://youtu.be/1SxMP6rLNEI</t>
  </si>
  <si>
    <t>Data Traders virale 4h-Strategie 100x getestet... und versagt!</t>
  </si>
  <si>
    <t>121 Tage</t>
  </si>
  <si>
    <t>https://youtu.be/7bO4PXateEk</t>
  </si>
  <si>
    <t>Ich teste "Die BESTE Trading Strategie 2023" von TradingTim 100 mal</t>
  </si>
  <si>
    <t>15 Tage</t>
  </si>
  <si>
    <t>https://youtu.be/JPH3_-qHcf4</t>
  </si>
  <si>
    <t>Zero Lag Indikator: Ich habe 100 Trades getestet... (KEIN PROFIT?)</t>
  </si>
  <si>
    <t>859 Tage</t>
  </si>
  <si>
    <t>https://youtu.be/875sh4fRYY0</t>
  </si>
  <si>
    <t>Kaspareit's Reversal Scalping Strategie: 96% vs. 9% Gewinn - Warum?</t>
  </si>
  <si>
    <t>109 Tage</t>
  </si>
  <si>
    <t>34,46% WR</t>
  </si>
  <si>
    <t>https://youtu.be/kwhcpj5fQOU</t>
  </si>
  <si>
    <t>Decker Capital's beste Strategie: 148% vs. 16% Gewinn - Warum?</t>
  </si>
  <si>
    <t>239 Tage</t>
  </si>
  <si>
    <t>36% WR</t>
  </si>
  <si>
    <t>https://youtu.be/soQMuieUzGE</t>
  </si>
  <si>
    <t>124% Profit in 3 Tagen? Warum die BESTE Bitcoin Scalping Strategie dich NICHT reich macht!</t>
  </si>
  <si>
    <t>3 Tage</t>
  </si>
  <si>
    <t>https://youtu.be/cNOqC7NE7x0</t>
  </si>
  <si>
    <t>Daytrading Strategie mit 98,1% Win Rate möglich? | 100 Trades später</t>
  </si>
  <si>
    <t>https://youtu.be/tvwXlYFhZS4</t>
  </si>
  <si>
    <t>Tradingview Tutorial: Expertentipps für das erfolgreiche Backtesting von Tradingstrategien</t>
  </si>
  <si>
    <t>21 Tage</t>
  </si>
  <si>
    <t>https://youtu.be/-3rn_Yr7qhs</t>
  </si>
  <si>
    <t>Krypto Trading: DEMA + Supertrend - Die ultimative Kombination für Profit?</t>
  </si>
  <si>
    <t>61 Tage</t>
  </si>
  <si>
    <t>34% WR</t>
  </si>
  <si>
    <t>https://youtu.be/EuYyrm64H34</t>
  </si>
  <si>
    <t>Hinweise</t>
  </si>
  <si>
    <t>1.</t>
  </si>
  <si>
    <t>Hinter jedem Tabellenkopf befinden sich zusätzliche Informationen über die Berechnung und Grenzwerte (Farben) zu den einzelnen Kennzahlen und Parametern. Fahrt mit der Maus darüber, um euch die Details anzeigen zu lassen.</t>
  </si>
  <si>
    <t>2.</t>
  </si>
  <si>
    <t xml:space="preserve">In den Notizen der Zelle H2 ist bereits darauf verwiesen, dennoch ist es nochmal wichtig zu betonen, dass sich hier alle dargestellten Profite ohne Einbeziehung von Gebühren und Steuern verstehen. Jeder Broker hat andere Gebühren, jedes Land hat andere Steuern. Die durchschnittlichen Tradinggebühren können je nach Broker, Handelsinstrument und Art der Order stark variieren und bewegen sich oft im Bereich von 0,05% bis 0,15% pro Trade. Berücksichtigt bei den 100 Trades daher bitte, dass zusätzlich nochmals 5-15% für Gebühren abgezogen werden sollten. Bei niedrigen Timeframes fallen diese deutlich höher aus als bei höheren Timeframes. Die Steuern hängen vom jeweiligen Land und der persönlichen Situation ab. In Deutschland werden auf Kapitalerträge pauschal 25 % Abgeltungsteuer plus Solidaritätszuschlag fällig (effektiv ca. 26,38 %), wobei ein jährlicher Freibetrag gilt. In der Schweiz hingegen sind private Kapitalgewinne aus dem Handel mit Wertpapieren für Privatpersonen grundsätzlich steuerfrei. Das ist keine Steuerberatung.
</t>
  </si>
  <si>
    <t>3.</t>
  </si>
  <si>
    <t>Die Auswertung von 100 Trades auf einem bestimmten Asset über einen bestimmten Zeitraum, z.B. einen Monat oder ein Jahr, kann als solider Indikator für die Qualität einer Strategie angesehen werden. Es ist jedoch wichtig zu beachten, dass die tatsächlichen Ergebnisse in der Realität variieren können - sowohl in positiver als auch in negativer Richtung. Marktschwankungen, unvorhersehbare Ereignisse, die Ausrichtung des Risikomanagements, die Erfahrung und Emotionen des Traders, die Wahl des Time Frames, das zugrundliegende Asset und andere Faktoren können dazu führen, dass die Performance in der Praxis von den historischen Ergebnissen abweicht.</t>
  </si>
  <si>
    <t>4.</t>
  </si>
  <si>
    <r>
      <t xml:space="preserve">Alle Backtests wurden, sofern nicht anders im Video erwähnt, manuell und mit dem Bar Replay Feature von Tradingview durchgeführt. Meine Methodik stelle ich in diesem Video vor: </t>
    </r>
    <r>
      <rPr>
        <u/>
        <sz val="10"/>
        <color rgb="FF1155CC"/>
        <rFont val="Arial"/>
      </rPr>
      <t>https://youtu.be/-3rn_Yr7qhs</t>
    </r>
  </si>
  <si>
    <t>5.</t>
  </si>
  <si>
    <t>Entscheide bitte selbst, welche Strategie du auf dem ersten Platz siehst. Deshalb habe ich mehrere Kennzahlen in der Rangliste inkludiert, damit du eine fundierte Entscheidung treffen kannst. Bei der Evaluierung solltest du dich aber nie auf nur eine einzige Kennzahl fokussieren. Mir geht es in erster Linie darum, wie verlässlich und reproduzierbar eine Strategie nach 100 Trades einen bestimmten Return erzielt. Strategien auf niedrigeren Timeframes tendieren dazu, höhere, aber oft auch unrealistischere Average Annual Returns zu liefern. Hinterfrage solche Zahlen immer kritisch! Je niedriger das Timeframe desto höher Fallen auch die Gebühren aus, die im ungünstigsten Fall die Profite sogar komplett aufzehren können!!! (Siehe dazu auch das verlinkte YouTube Video unter Punkt 6)</t>
  </si>
  <si>
    <t>6.</t>
  </si>
  <si>
    <r>
      <t xml:space="preserve">Kann ich die Strategie auch auf dem 1h Timeframe traden? Ja, ihr könnt fast alle Strategien auch auf einem anderen Timeframe traden - das hat aber andere Implikationen auf euer Trading: </t>
    </r>
    <r>
      <rPr>
        <u/>
        <sz val="10"/>
        <color rgb="FF1155CC"/>
        <rFont val="Arial"/>
      </rPr>
      <t>https://youtu.be/gxbR-i-B6x0</t>
    </r>
  </si>
  <si>
    <t>7.</t>
  </si>
  <si>
    <r>
      <t xml:space="preserve">Den größten Einfluss auf den Erfolg einer Strategie hat nicht die Strategie selbst, sondern das richtige Risikomanagement und insbesondere das Setzen des Stop Losses an der korrekten Stelle. Wie ich den Stop Loss in meinen Videos platziere, stelle ich in diesem Video vor: </t>
    </r>
    <r>
      <rPr>
        <u/>
        <sz val="10"/>
        <color rgb="FF1155CC"/>
        <rFont val="Arial"/>
      </rPr>
      <t>https://youtu.be/cIrrG0leY4c</t>
    </r>
  </si>
  <si>
    <t>8.</t>
  </si>
  <si>
    <t>Es gibt noch ein weiteres Tabellenblatt. In diesem Ranking wurden die Gaps aus den Breakdowns herausgerechnet. Details findet ihr dort.</t>
  </si>
  <si>
    <t>9.</t>
  </si>
  <si>
    <t>Umgang mit Breakeven-Trades (0R): Bei Strategien, bei denen der Stop Loss zur Absicherung auf Breakeven gezogen wird, werden diese ausgestoppten 0R-Trades in der Regel nicht in die 
Endabrechnung der 100 Trades aufgenommen. Mein Ziel ist es, die statistische Signifikanz zu erhöhen, indem ich 100 "echte" Marktentscheidungen (Gewinn oder Verlust) isoliere, 
um die Profitabilität der Strategie zu prüfen. Dies bedeutet in der Praxis oft, dass deutlich mehr als 100 Setups getradet wurden (z.B. 120), um diese 100 validen Ergebnisse zu erhalten. 
Wichtig für die Interpretation: Da sich durch diese Methodik der benötigte Zeitraum für die 100 Trades verlängert, fällt der berechnete "Annual Average Return" (durchschnittlicher Jahresertrag) oft 
konservativer und geringer aus, als wenn man die Testreihe nach bloßen 100 Versuchen beenden würde. Beachtet zudem bitte für euer Live-Trading, dass auch Breakeven-Trades durch 
Spread und Slippage minimale Kosten verursachen, die ihr einkalkulieren müsst.</t>
  </si>
  <si>
    <t>In den Notizen der Zelle H2 ist bereits darauf verwiesen, dennoch ist es nochmal wichtig zu betonen, dass sich hier alle dargestellten Profite ohne Einbeziehung von Gebühren und Steuern verstehen. Jeder Broker hat andere Gebühren, jedes Land hat andere Steuern. Die durchschnittlichen Tradinggebühren können je nach Broker, Handelsinstrument und Art der Order stark variieren und bewegen sich oft im Bereich von 0,05% bis 0,15% pro Trade. Berücksichtigt bei den 100 Trades daher bitte, dass zusätzlich nochmals 5-15% für Gebühren abgezogen werden sollten. Bei niedrigen Timeframes fallen diese deutlich höher aus als bei höheren Timeframes. Die Steuern hängen vom jeweiligen Land und der persönlichen Situation ab. In Deutschland werden auf Kapitalerträge pauschal 25 % Abgeltungsteuer plus Solidaritätszuschlag fällig (effektiv ca. 26,38 %), wobei ein jährlicher Freibetrag gilt. In der Schweiz hingegen sind private Kapitalgewinne aus dem Handel mit Wertpapieren für Privatpersonen grundsätzlich steuerfrei. Das ist keine Steuerberatung.</t>
  </si>
  <si>
    <r>
      <t xml:space="preserve">Alle Backtests wurden, sofern nicht anders im Video erwähnt, manuell und mit dem Bar Replay Feature von Tradingview durchgeführt. Meine Methodik stelle ich in diesem Video vor: </t>
    </r>
    <r>
      <rPr>
        <u/>
        <sz val="10"/>
        <color rgb="FF1155CC"/>
        <rFont val="Arial"/>
      </rPr>
      <t>https://youtu.be/-3rn_Yr7qhs</t>
    </r>
  </si>
  <si>
    <r>
      <t xml:space="preserve">Kann ich die Strategie auch auf dem 1h Timeframe traden? Ja, ihr könnt fast alle Strategien auch auf einem anderen Timeframe traden - das hat aber andere Implikationen auf euer Trading: </t>
    </r>
    <r>
      <rPr>
        <u/>
        <sz val="10"/>
        <color rgb="FF1155CC"/>
        <rFont val="Arial"/>
      </rPr>
      <t>https://youtu.be/gxbR-i-B6x0</t>
    </r>
  </si>
  <si>
    <r>
      <t xml:space="preserve">Den größten Einfluss auf den Erfolg einer Strategie hat nicht die Strategie selbst, sondern das richtige Risikomanagement und insbesondere das Setzen des Stop Losses an der korrekten Stelle. Wie ich den Stop Loss in meinen Videos platziere, stelle ich in diesem Video vor: </t>
    </r>
    <r>
      <rPr>
        <u/>
        <sz val="10"/>
        <color rgb="FF1155CC"/>
        <rFont val="Arial"/>
      </rPr>
      <t>https://youtu.be/cIrrG0leY4c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</si>
</sst>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sz val="10"/>
      <color theme="1"/>
      <name val="Arial"/>
    </font>
    <font>
      <b/>
      <sz val="12"/>
      <color theme="1"/>
      <name val="Arial"/>
      <scheme val="minor"/>
    </font>
    <font>
      <b/>
      <sz val="12"/>
      <color theme="1"/>
      <name val="Arial"/>
    </font>
    <font>
      <sz val="10"/>
      <color theme="1"/>
      <name val="Arial"/>
      <scheme val="minor"/>
    </font>
    <font>
      <b/>
      <sz val="10"/>
      <color theme="1"/>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FF0000"/>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b/>
      <sz val="10"/>
      <color theme="1"/>
      <name val="Arial"/>
      <scheme val="minor"/>
    </font>
    <font>
      <u/>
      <sz val="10"/>
      <color rgb="FF0000FF"/>
      <name val="Arial"/>
    </font>
    <font>
      <u/>
      <sz val="10"/>
      <color rgb="FF1155CC"/>
      <name val="Arial"/>
    </font>
    <font>
      <u/>
      <sz val="10"/>
      <color rgb="FFFF0000"/>
      <name val="Arial"/>
    </font>
    <font>
      <u/>
      <sz val="10"/>
      <color rgb="FF1155CC"/>
      <name val="Arial"/>
    </font>
  </fonts>
  <fills count="7">
    <fill>
      <patternFill patternType="none"/>
    </fill>
    <fill>
      <patternFill patternType="gray125"/>
    </fill>
    <fill>
      <patternFill patternType="solid">
        <fgColor rgb="FFCCCCCC"/>
        <bgColor rgb="FFCCCCCC"/>
      </patternFill>
    </fill>
    <fill>
      <patternFill patternType="solid">
        <fgColor rgb="FF6AA84F"/>
        <bgColor rgb="FF6AA84F"/>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s>
  <borders count="13">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s>
  <cellStyleXfs count="1">
    <xf numFmtId="0" fontId="0" fillId="0" borderId="0"/>
  </cellStyleXfs>
  <cellXfs count="98">
    <xf numFmtId="0" fontId="0" fillId="0" borderId="0" xfId="0"/>
    <xf numFmtId="0" fontId="1" fillId="0" borderId="0" xfId="0" applyFont="1"/>
    <xf numFmtId="0" fontId="1" fillId="0" borderId="1" xfId="0" applyFont="1" applyBorder="1"/>
    <xf numFmtId="0" fontId="2" fillId="0" borderId="0" xfId="0" applyFont="1" applyAlignment="1">
      <alignment horizontal="center" vertical="center"/>
    </xf>
    <xf numFmtId="0" fontId="1" fillId="0" borderId="2" xfId="0" applyFont="1" applyBorder="1"/>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3" xfId="0" applyFont="1" applyFill="1" applyBorder="1" applyAlignment="1">
      <alignment horizontal="center"/>
    </xf>
    <xf numFmtId="0" fontId="4" fillId="0" borderId="0" xfId="0" applyFont="1" applyAlignment="1">
      <alignment horizontal="center"/>
    </xf>
    <xf numFmtId="0" fontId="1" fillId="0" borderId="3" xfId="0" applyFont="1" applyBorder="1" applyAlignment="1">
      <alignment horizontal="center"/>
    </xf>
    <xf numFmtId="0" fontId="1" fillId="0" borderId="3" xfId="0" applyFont="1" applyBorder="1" applyAlignment="1">
      <alignment horizontal="center" wrapText="1"/>
    </xf>
    <xf numFmtId="0" fontId="1" fillId="0" borderId="4" xfId="0" applyFont="1" applyBorder="1" applyAlignment="1">
      <alignment horizontal="center" wrapText="1"/>
    </xf>
    <xf numFmtId="10" fontId="5" fillId="3" borderId="7" xfId="0" applyNumberFormat="1" applyFont="1" applyFill="1" applyBorder="1" applyAlignment="1">
      <alignment horizontal="center"/>
    </xf>
    <xf numFmtId="10" fontId="1" fillId="4" borderId="6" xfId="0" applyNumberFormat="1" applyFont="1" applyFill="1" applyBorder="1" applyAlignment="1">
      <alignment horizontal="center"/>
    </xf>
    <xf numFmtId="4" fontId="1" fillId="3" borderId="3" xfId="0" applyNumberFormat="1" applyFont="1" applyFill="1" applyBorder="1" applyAlignment="1">
      <alignment horizontal="center"/>
    </xf>
    <xf numFmtId="10" fontId="1" fillId="5" borderId="3" xfId="0" applyNumberFormat="1" applyFont="1" applyFill="1" applyBorder="1" applyAlignment="1">
      <alignment horizontal="center"/>
    </xf>
    <xf numFmtId="0" fontId="6" fillId="0" borderId="3" xfId="0" applyFont="1" applyBorder="1"/>
    <xf numFmtId="0" fontId="1" fillId="3" borderId="3" xfId="0" applyFont="1" applyFill="1" applyBorder="1" applyAlignment="1">
      <alignment horizontal="center"/>
    </xf>
    <xf numFmtId="0" fontId="1" fillId="0" borderId="3" xfId="0" applyFont="1" applyBorder="1"/>
    <xf numFmtId="10" fontId="1" fillId="6" borderId="6" xfId="0" applyNumberFormat="1" applyFont="1" applyFill="1" applyBorder="1" applyAlignment="1">
      <alignment horizontal="center"/>
    </xf>
    <xf numFmtId="4" fontId="1" fillId="5" borderId="3" xfId="0" applyNumberFormat="1" applyFont="1" applyFill="1" applyBorder="1" applyAlignment="1">
      <alignment horizontal="center"/>
    </xf>
    <xf numFmtId="10" fontId="1" fillId="3" borderId="3" xfId="0" applyNumberFormat="1" applyFont="1" applyFill="1" applyBorder="1" applyAlignment="1">
      <alignment horizontal="center"/>
    </xf>
    <xf numFmtId="0" fontId="7" fillId="0" borderId="3" xfId="0" applyFont="1" applyBorder="1"/>
    <xf numFmtId="0" fontId="1" fillId="5" borderId="3" xfId="0" applyFont="1" applyFill="1" applyBorder="1" applyAlignment="1">
      <alignment horizontal="center"/>
    </xf>
    <xf numFmtId="0" fontId="8" fillId="0" borderId="6" xfId="0" applyFont="1" applyBorder="1"/>
    <xf numFmtId="0" fontId="1" fillId="4" borderId="3" xfId="0" applyFont="1" applyFill="1" applyBorder="1" applyAlignment="1">
      <alignment horizontal="center"/>
    </xf>
    <xf numFmtId="0" fontId="1" fillId="0" borderId="6" xfId="0" applyFont="1" applyBorder="1"/>
    <xf numFmtId="0" fontId="1" fillId="0" borderId="6" xfId="0" applyFont="1" applyBorder="1" applyAlignment="1">
      <alignment horizontal="center" wrapText="1"/>
    </xf>
    <xf numFmtId="0" fontId="1" fillId="0" borderId="6" xfId="0" applyFont="1" applyBorder="1" applyAlignment="1">
      <alignment horizontal="center"/>
    </xf>
    <xf numFmtId="0" fontId="1" fillId="0" borderId="8" xfId="0" applyFont="1" applyBorder="1" applyAlignment="1">
      <alignment horizontal="center" wrapText="1"/>
    </xf>
    <xf numFmtId="10" fontId="5" fillId="3" borderId="8" xfId="0" applyNumberFormat="1" applyFont="1" applyFill="1" applyBorder="1" applyAlignment="1">
      <alignment horizontal="center"/>
    </xf>
    <xf numFmtId="4" fontId="1" fillId="3" borderId="6" xfId="0" applyNumberFormat="1" applyFont="1" applyFill="1" applyBorder="1" applyAlignment="1">
      <alignment horizontal="center"/>
    </xf>
    <xf numFmtId="10" fontId="1" fillId="5" borderId="6" xfId="0" applyNumberFormat="1" applyFont="1" applyFill="1" applyBorder="1" applyAlignment="1">
      <alignment horizontal="center"/>
    </xf>
    <xf numFmtId="0" fontId="1" fillId="6" borderId="3" xfId="0" applyFont="1" applyFill="1" applyBorder="1" applyAlignment="1">
      <alignment horizontal="center"/>
    </xf>
    <xf numFmtId="10" fontId="1" fillId="6" borderId="3" xfId="0" applyNumberFormat="1" applyFont="1" applyFill="1" applyBorder="1" applyAlignment="1">
      <alignment horizontal="center"/>
    </xf>
    <xf numFmtId="0" fontId="9" fillId="0" borderId="3" xfId="0" applyFont="1" applyBorder="1" applyAlignment="1">
      <alignment wrapText="1"/>
    </xf>
    <xf numFmtId="0" fontId="10" fillId="0" borderId="6" xfId="0" applyFont="1" applyBorder="1"/>
    <xf numFmtId="10" fontId="5" fillId="3" borderId="9" xfId="0" applyNumberFormat="1" applyFont="1" applyFill="1" applyBorder="1" applyAlignment="1">
      <alignment horizontal="center"/>
    </xf>
    <xf numFmtId="10" fontId="1" fillId="4" borderId="3" xfId="0" applyNumberFormat="1" applyFont="1" applyFill="1" applyBorder="1" applyAlignment="1">
      <alignment horizontal="center"/>
    </xf>
    <xf numFmtId="0" fontId="11" fillId="0" borderId="3" xfId="0" applyFont="1" applyBorder="1"/>
    <xf numFmtId="10" fontId="1" fillId="3" borderId="6" xfId="0" applyNumberFormat="1" applyFont="1" applyFill="1" applyBorder="1" applyAlignment="1">
      <alignment horizontal="center"/>
    </xf>
    <xf numFmtId="0" fontId="12" fillId="0" borderId="6" xfId="0" applyFont="1" applyBorder="1"/>
    <xf numFmtId="0" fontId="13" fillId="0" borderId="6" xfId="0" applyFont="1" applyBorder="1"/>
    <xf numFmtId="0" fontId="14" fillId="0" borderId="3" xfId="0" applyFont="1" applyBorder="1"/>
    <xf numFmtId="4" fontId="1" fillId="5" borderId="6" xfId="0" applyNumberFormat="1" applyFont="1" applyFill="1" applyBorder="1" applyAlignment="1">
      <alignment horizontal="center"/>
    </xf>
    <xf numFmtId="10" fontId="5" fillId="5" borderId="9" xfId="0" applyNumberFormat="1" applyFont="1" applyFill="1" applyBorder="1" applyAlignment="1">
      <alignment horizontal="center"/>
    </xf>
    <xf numFmtId="0" fontId="15" fillId="0" borderId="3" xfId="0" applyFont="1" applyBorder="1"/>
    <xf numFmtId="0" fontId="16" fillId="0" borderId="3" xfId="0" applyFont="1" applyBorder="1" applyAlignment="1">
      <alignment horizontal="left"/>
    </xf>
    <xf numFmtId="10" fontId="1" fillId="0" borderId="8" xfId="0" applyNumberFormat="1" applyFont="1" applyBorder="1" applyAlignment="1">
      <alignment horizontal="center" wrapText="1"/>
    </xf>
    <xf numFmtId="10" fontId="5" fillId="5" borderId="8" xfId="0" applyNumberFormat="1" applyFont="1" applyFill="1" applyBorder="1" applyAlignment="1">
      <alignment horizontal="center"/>
    </xf>
    <xf numFmtId="10" fontId="1" fillId="0" borderId="4" xfId="0" applyNumberFormat="1" applyFont="1" applyBorder="1" applyAlignment="1">
      <alignment horizontal="center" wrapText="1"/>
    </xf>
    <xf numFmtId="10" fontId="17" fillId="0" borderId="3" xfId="0" applyNumberFormat="1" applyFont="1" applyBorder="1"/>
    <xf numFmtId="3" fontId="1" fillId="0" borderId="3" xfId="0" applyNumberFormat="1" applyFont="1" applyBorder="1" applyAlignment="1">
      <alignment horizontal="center"/>
    </xf>
    <xf numFmtId="3" fontId="1" fillId="0" borderId="6" xfId="0" applyNumberFormat="1" applyFont="1" applyBorder="1" applyAlignment="1">
      <alignment horizontal="center"/>
    </xf>
    <xf numFmtId="10" fontId="5" fillId="5" borderId="10" xfId="0" applyNumberFormat="1" applyFont="1" applyFill="1" applyBorder="1" applyAlignment="1">
      <alignment horizontal="center"/>
    </xf>
    <xf numFmtId="4" fontId="1" fillId="4" borderId="3" xfId="0" applyNumberFormat="1" applyFont="1" applyFill="1" applyBorder="1" applyAlignment="1">
      <alignment horizontal="center"/>
    </xf>
    <xf numFmtId="0" fontId="18" fillId="0" borderId="3" xfId="0" applyFont="1" applyBorder="1" applyAlignment="1">
      <alignment wrapText="1"/>
    </xf>
    <xf numFmtId="4" fontId="1" fillId="4" borderId="6" xfId="0" applyNumberFormat="1" applyFont="1" applyFill="1" applyBorder="1" applyAlignment="1">
      <alignment horizontal="center"/>
    </xf>
    <xf numFmtId="0" fontId="19" fillId="0" borderId="6" xfId="0" applyFont="1" applyBorder="1" applyAlignment="1">
      <alignment wrapText="1"/>
    </xf>
    <xf numFmtId="0" fontId="20" fillId="0" borderId="3" xfId="0" applyFont="1" applyBorder="1"/>
    <xf numFmtId="0" fontId="21" fillId="0" borderId="3" xfId="0" applyFont="1" applyBorder="1" applyAlignment="1">
      <alignment horizontal="left"/>
    </xf>
    <xf numFmtId="4" fontId="1" fillId="6" borderId="6" xfId="0" applyNumberFormat="1" applyFont="1" applyFill="1" applyBorder="1" applyAlignment="1">
      <alignment horizontal="center"/>
    </xf>
    <xf numFmtId="10" fontId="22" fillId="0" borderId="6" xfId="0" applyNumberFormat="1" applyFont="1" applyBorder="1"/>
    <xf numFmtId="4" fontId="1" fillId="6" borderId="3" xfId="0" applyNumberFormat="1" applyFont="1" applyFill="1" applyBorder="1" applyAlignment="1">
      <alignment horizontal="center"/>
    </xf>
    <xf numFmtId="10" fontId="5" fillId="4" borderId="8" xfId="0" applyNumberFormat="1" applyFont="1" applyFill="1" applyBorder="1" applyAlignment="1">
      <alignment horizontal="center"/>
    </xf>
    <xf numFmtId="10" fontId="5" fillId="6" borderId="9" xfId="0" applyNumberFormat="1" applyFont="1" applyFill="1" applyBorder="1" applyAlignment="1">
      <alignment horizontal="center"/>
    </xf>
    <xf numFmtId="10" fontId="5" fillId="6" borderId="8" xfId="0" applyNumberFormat="1" applyFont="1" applyFill="1" applyBorder="1" applyAlignment="1">
      <alignment horizontal="center"/>
    </xf>
    <xf numFmtId="10" fontId="5" fillId="6" borderId="11" xfId="0" applyNumberFormat="1" applyFont="1" applyFill="1" applyBorder="1" applyAlignment="1">
      <alignment horizontal="center"/>
    </xf>
    <xf numFmtId="0" fontId="4" fillId="0" borderId="0" xfId="0" applyFont="1" applyAlignment="1">
      <alignment horizontal="left"/>
    </xf>
    <xf numFmtId="0" fontId="4" fillId="0" borderId="0" xfId="0" applyFont="1" applyAlignment="1">
      <alignment horizontal="center" wrapText="1"/>
    </xf>
    <xf numFmtId="0" fontId="4" fillId="0" borderId="0" xfId="0" applyFont="1" applyAlignment="1">
      <alignment horizontal="right" vertical="top" wrapText="1"/>
    </xf>
    <xf numFmtId="0" fontId="1" fillId="0" borderId="0" xfId="0" applyFont="1" applyAlignment="1">
      <alignment horizontal="right" vertical="top"/>
    </xf>
    <xf numFmtId="10" fontId="5" fillId="5" borderId="7" xfId="0" applyNumberFormat="1" applyFont="1" applyFill="1" applyBorder="1" applyAlignment="1">
      <alignment horizontal="center"/>
    </xf>
    <xf numFmtId="10" fontId="5" fillId="4" borderId="9" xfId="0" applyNumberFormat="1" applyFont="1" applyFill="1" applyBorder="1" applyAlignment="1">
      <alignment horizontal="center"/>
    </xf>
    <xf numFmtId="10" fontId="5" fillId="6" borderId="10" xfId="0" applyNumberFormat="1" applyFont="1" applyFill="1" applyBorder="1" applyAlignment="1">
      <alignment horizontal="center"/>
    </xf>
    <xf numFmtId="0" fontId="24" fillId="0" borderId="0" xfId="0" applyFont="1" applyAlignment="1">
      <alignment wrapText="1"/>
    </xf>
    <xf numFmtId="0" fontId="0" fillId="0" borderId="0" xfId="0"/>
    <xf numFmtId="0" fontId="1" fillId="0" borderId="0" xfId="0" applyFont="1" applyAlignment="1">
      <alignment wrapText="1"/>
    </xf>
    <xf numFmtId="0" fontId="23" fillId="0" borderId="0" xfId="0" applyFont="1"/>
    <xf numFmtId="0" fontId="4" fillId="0" borderId="0" xfId="0" applyFont="1" applyAlignment="1">
      <alignment wrapText="1"/>
    </xf>
    <xf numFmtId="0" fontId="4" fillId="0" borderId="0" xfId="0" applyFont="1" applyAlignment="1">
      <alignment horizontal="left" wrapText="1"/>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xf>
    <xf numFmtId="0" fontId="6" fillId="0" borderId="4" xfId="0" applyFont="1" applyBorder="1"/>
    <xf numFmtId="0" fontId="25" fillId="0" borderId="4" xfId="0" applyFont="1" applyBorder="1" applyAlignment="1">
      <alignment wrapText="1"/>
    </xf>
    <xf numFmtId="0" fontId="7" fillId="0" borderId="4" xfId="0" applyFont="1" applyBorder="1"/>
    <xf numFmtId="0" fontId="8" fillId="0" borderId="12" xfId="0" applyFont="1" applyBorder="1"/>
    <xf numFmtId="0" fontId="11" fillId="0" borderId="4" xfId="0" applyFont="1" applyBorder="1"/>
    <xf numFmtId="0" fontId="13" fillId="0" borderId="12" xfId="0" applyFont="1" applyBorder="1"/>
    <xf numFmtId="0" fontId="26" fillId="0" borderId="4" xfId="0" applyFont="1" applyBorder="1"/>
    <xf numFmtId="10" fontId="17" fillId="0" borderId="4" xfId="0" applyNumberFormat="1" applyFont="1" applyBorder="1"/>
    <xf numFmtId="10" fontId="22" fillId="0" borderId="12" xfId="0" applyNumberFormat="1" applyFont="1" applyBorder="1"/>
    <xf numFmtId="0" fontId="27" fillId="0" borderId="4" xfId="0" applyFont="1" applyBorder="1" applyAlignment="1">
      <alignment wrapText="1"/>
    </xf>
    <xf numFmtId="0" fontId="21" fillId="0" borderId="4" xfId="0" applyFont="1" applyBorder="1" applyAlignment="1">
      <alignment horizontal="left"/>
    </xf>
    <xf numFmtId="0" fontId="1" fillId="0" borderId="0" xfId="0" applyFont="1" applyBorder="1"/>
  </cellXfs>
  <cellStyles count="1">
    <cellStyle name="Standard" xfId="0" builtinId="0"/>
  </cellStyles>
  <dxfs count="13">
    <dxf>
      <font>
        <b val="0"/>
        <i val="0"/>
        <strike val="0"/>
        <condense val="0"/>
        <extend val="0"/>
        <outline val="0"/>
        <shadow val="0"/>
        <u/>
        <vertAlign val="baseline"/>
        <sz val="10"/>
        <color rgb="FF1155CC"/>
        <name val="Arial"/>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4" formatCode="0.00%"/>
      <fill>
        <patternFill patternType="solid">
          <fgColor rgb="FFEA9999"/>
          <bgColor rgb="FFEA999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4" formatCode="#,##0.00"/>
      <fill>
        <patternFill patternType="solid">
          <fgColor rgb="FFEA9999"/>
          <bgColor rgb="FFEA999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4" formatCode="0.00%"/>
      <fill>
        <patternFill patternType="solid">
          <fgColor rgb="FFEA9999"/>
          <bgColor rgb="FFEA9999"/>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numFmt numFmtId="14" formatCode="0.00%"/>
      <fill>
        <patternFill patternType="solid">
          <fgColor rgb="FFEA9999"/>
          <bgColor rgb="FFEA9999"/>
        </patternFill>
      </fill>
      <alignment horizontal="center" vertical="bottom" textRotation="0" wrapText="0" indent="0" justifyLastLine="0" shrinkToFit="0" readingOrder="0"/>
      <border diagonalUp="0" diagonalDown="0">
        <left style="medium">
          <color rgb="FF000000"/>
        </left>
        <right style="medium">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4" formatCode="0.00%"/>
      <alignment horizontal="center"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12</xdr:col>
      <xdr:colOff>657225</xdr:colOff>
      <xdr:row>8</xdr:row>
      <xdr:rowOff>133350</xdr:rowOff>
    </xdr:from>
    <xdr:ext cx="3581400" cy="5286375"/>
    <xdr:sp macro="" textlink="">
      <xdr:nvSpPr>
        <xdr:cNvPr id="3" name="Shape 3">
          <a:extLst>
            <a:ext uri="{FF2B5EF4-FFF2-40B4-BE49-F238E27FC236}">
              <a16:creationId xmlns:a16="http://schemas.microsoft.com/office/drawing/2014/main" id="{00000000-0008-0000-0100-000003000000}"/>
            </a:ext>
          </a:extLst>
        </xdr:cNvPr>
        <xdr:cNvSpPr txBox="1"/>
      </xdr:nvSpPr>
      <xdr:spPr>
        <a:xfrm>
          <a:off x="1377050" y="1020400"/>
          <a:ext cx="3566400" cy="4992900"/>
        </a:xfrm>
        <a:prstGeom prst="rect">
          <a:avLst/>
        </a:prstGeom>
        <a:solidFill>
          <a:srgbClr val="F1C232"/>
        </a:solidFill>
        <a:ln>
          <a:noFill/>
        </a:ln>
      </xdr:spPr>
      <xdr:txBody>
        <a:bodyPr spcFirstLastPara="1" wrap="square" lIns="91425" tIns="91425" rIns="91425" bIns="91425" anchor="t" anchorCtr="0">
          <a:noAutofit/>
        </a:bodyPr>
        <a:lstStyle/>
        <a:p>
          <a:pPr marL="0" lvl="0" indent="0" algn="l" rtl="0">
            <a:lnSpc>
              <a:spcPct val="115000"/>
            </a:lnSpc>
            <a:spcBef>
              <a:spcPts val="1200"/>
            </a:spcBef>
            <a:spcAft>
              <a:spcPts val="0"/>
            </a:spcAft>
            <a:buNone/>
          </a:pPr>
          <a:r>
            <a:rPr lang="en-US" sz="1100" b="1"/>
            <a:t>Willkommen zum fairen Strategie-Ranking! – Was ist hier anders?</a:t>
          </a:r>
          <a:endParaRPr sz="1100" b="1"/>
        </a:p>
        <a:p>
          <a:pPr marL="0" lvl="0" indent="0" algn="l" rtl="0">
            <a:lnSpc>
              <a:spcPct val="115000"/>
            </a:lnSpc>
            <a:spcBef>
              <a:spcPts val="1200"/>
            </a:spcBef>
            <a:spcAft>
              <a:spcPts val="0"/>
            </a:spcAft>
            <a:buNone/>
          </a:pPr>
          <a:r>
            <a:rPr lang="en-US" sz="1100"/>
            <a:t>Beim Testen ist mir aufgefallen, dass vor allem Strategien im Aktienmarkt durch Marktlücken (Gaps) manchmal extreme Ergebnisse erzielen (z. B. ein +15R Gewinn oder ein -4R Verlust anstatt des geplanten -1R).</a:t>
          </a:r>
          <a:endParaRPr sz="1100"/>
        </a:p>
        <a:p>
          <a:pPr marL="0" lvl="0" indent="0" algn="l" rtl="0">
            <a:lnSpc>
              <a:spcPct val="115000"/>
            </a:lnSpc>
            <a:spcBef>
              <a:spcPts val="1200"/>
            </a:spcBef>
            <a:spcAft>
              <a:spcPts val="0"/>
            </a:spcAft>
            <a:buNone/>
          </a:pPr>
          <a:r>
            <a:rPr lang="en-US" sz="1100"/>
            <a:t>Diese "Glückstreffer" oder "Pechsträhnen" verzerren natürlich die Gesamtperformance und machen einen fairen Vergleich der eigentlichen Strategie-Logik schwierig.</a:t>
          </a:r>
          <a:endParaRPr sz="1100"/>
        </a:p>
        <a:p>
          <a:pPr marL="0" lvl="0" indent="0" algn="l" rtl="0">
            <a:lnSpc>
              <a:spcPct val="115000"/>
            </a:lnSpc>
            <a:spcBef>
              <a:spcPts val="1200"/>
            </a:spcBef>
            <a:spcAft>
              <a:spcPts val="0"/>
            </a:spcAft>
            <a:buNone/>
          </a:pPr>
          <a:r>
            <a:rPr lang="en-US" sz="1100" b="1"/>
            <a:t>Deshalb habe ich dieses 'bereinigte' Ranking erstellt.</a:t>
          </a:r>
          <a:r>
            <a:rPr lang="en-US" sz="1100"/>
            <a:t> Hier wurden alle Trades, die durch ein Gap extrem beeinflusst wurden, auf ihren ursprünglichen Ziel-Wert (z. B. +3R statt +15R) zurückgesetzt.</a:t>
          </a:r>
          <a:endParaRPr sz="1100"/>
        </a:p>
        <a:p>
          <a:pPr marL="0" lvl="0" indent="0" algn="l" rtl="0">
            <a:lnSpc>
              <a:spcPct val="115000"/>
            </a:lnSpc>
            <a:spcBef>
              <a:spcPts val="1200"/>
            </a:spcBef>
            <a:spcAft>
              <a:spcPts val="0"/>
            </a:spcAft>
            <a:buNone/>
          </a:pPr>
          <a:r>
            <a:rPr lang="en-US" sz="1100" b="1"/>
            <a:t>Das Ergebnis:</a:t>
          </a:r>
          <a:r>
            <a:rPr lang="en-US" sz="1100"/>
            <a:t> Ein Ranking, das die reine Leistung und Robustheit der </a:t>
          </a:r>
          <a:r>
            <a:rPr lang="en-US" sz="1100" i="1"/>
            <a:t>Strategie</a:t>
          </a:r>
          <a:r>
            <a:rPr lang="en-US" sz="1100"/>
            <a:t> bewertet – unabhängig vom Glück mit zufälligen Kurssprüngen. So könnt ihr noch besser einschätzen, welcher Ansatz wirklich zu euch und eurem Trading-Stil passt.</a:t>
          </a:r>
          <a:endParaRPr sz="1100"/>
        </a:p>
        <a:p>
          <a:pPr marL="0" lvl="0" indent="0" algn="l" rtl="0">
            <a:lnSpc>
              <a:spcPct val="115000"/>
            </a:lnSpc>
            <a:spcBef>
              <a:spcPts val="1200"/>
            </a:spcBef>
            <a:spcAft>
              <a:spcPts val="0"/>
            </a:spcAft>
            <a:buNone/>
          </a:pPr>
          <a:r>
            <a:rPr lang="en-US" sz="1100"/>
            <a:t>Viel Erfolg beim Analysieren!</a:t>
          </a:r>
          <a:endParaRPr sz="1400"/>
        </a:p>
        <a:p>
          <a:pPr marL="0" lvl="0" indent="0" algn="l" rtl="0">
            <a:spcBef>
              <a:spcPts val="1200"/>
            </a:spcBef>
            <a:spcAft>
              <a:spcPts val="0"/>
            </a:spcAft>
            <a:buNone/>
          </a:pPr>
          <a:endParaRPr sz="14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ACBA37-8DEB-4806-8375-96E3BEBB25B5}" name="Tabelle1" displayName="Tabelle1" ref="B2:L70" totalsRowShown="0" headerRowBorderDxfId="11" tableBorderDxfId="12">
  <autoFilter ref="B2:L70" xr:uid="{F8ACBA37-8DEB-4806-8375-96E3BEBB25B5}"/>
  <sortState xmlns:xlrd2="http://schemas.microsoft.com/office/spreadsheetml/2017/richdata2" ref="B3:L70">
    <sortCondition ref="B2:B70"/>
  </sortState>
  <tableColumns count="11">
    <tableColumn id="1" xr3:uid="{4ED58405-4000-4D81-8030-292557EF2C8E}" name="Platz" dataDxfId="10"/>
    <tableColumn id="2" xr3:uid="{675F644B-1192-4350-BA8E-82E8EED1E2B0}" name="Name des Videos" dataDxfId="9"/>
    <tableColumn id="3" xr3:uid="{7B8577F1-2FDF-4237-BF99-9660AB61C6EE}" name="Time Frame" dataDxfId="8"/>
    <tableColumn id="4" xr3:uid="{839DBB04-AA88-4116-900A-86095AB57450}" name="R:R" dataDxfId="7"/>
    <tableColumn id="5" xr3:uid="{8A0EC16D-02A9-456A-A06D-FCE1BF7A9C59}" name="Zeitraum" dataDxfId="6"/>
    <tableColumn id="6" xr3:uid="{3F4E2E00-C10A-4402-A5BA-EE774D46404E}" name="Win Rate" dataDxfId="5"/>
    <tableColumn id="7" xr3:uid="{744F6DAC-C480-4992-B748-4DB83A7C7ECA}" name="Profit nach 100 Trades" dataDxfId="4"/>
    <tableColumn id="8" xr3:uid="{BF910860-1C7D-4C28-80D6-9986D57B5240}" name="Max. Drawdown" dataDxfId="3"/>
    <tableColumn id="9" xr3:uid="{CD44ECF2-4022-4E5C-B99B-C4AEEC84110B}" name="Profitfaktor" dataDxfId="2"/>
    <tableColumn id="10" xr3:uid="{237D82A0-1229-4C20-8505-D71F42425D95}" name="Average Annual Return" dataDxfId="1"/>
    <tableColumn id="11" xr3:uid="{725BB740-E369-4995-A859-7CBD26D6847E}" name="Link zum Video" dataDxfId="0"/>
  </tableColumns>
  <tableStyleInfo name="TableStyleMedium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youtu.be/gSp7qRrf5nY" TargetMode="External"/><Relationship Id="rId21" Type="http://schemas.openxmlformats.org/officeDocument/2006/relationships/hyperlink" Target="https://youtu.be/R1SDKPNrSsA" TargetMode="External"/><Relationship Id="rId42" Type="http://schemas.openxmlformats.org/officeDocument/2006/relationships/hyperlink" Target="https://youtu.be/-zFYJ4EzFLw" TargetMode="External"/><Relationship Id="rId47" Type="http://schemas.openxmlformats.org/officeDocument/2006/relationships/hyperlink" Target="https://youtu.be/qgQNHtjdQH4" TargetMode="External"/><Relationship Id="rId63" Type="http://schemas.openxmlformats.org/officeDocument/2006/relationships/hyperlink" Target="https://youtu.be/kwhcpj5fQOU" TargetMode="External"/><Relationship Id="rId68" Type="http://schemas.openxmlformats.org/officeDocument/2006/relationships/hyperlink" Target="https://youtu.be/EuYyrm64H34" TargetMode="External"/><Relationship Id="rId2" Type="http://schemas.openxmlformats.org/officeDocument/2006/relationships/hyperlink" Target="https://youtu.be/xgGYseIfO7U" TargetMode="External"/><Relationship Id="rId16" Type="http://schemas.openxmlformats.org/officeDocument/2006/relationships/hyperlink" Target="https://youtu.be/L-NaoGbwxR4" TargetMode="External"/><Relationship Id="rId29" Type="http://schemas.openxmlformats.org/officeDocument/2006/relationships/hyperlink" Target="https://youtu.be/r5USVdNKb9U" TargetMode="External"/><Relationship Id="rId11" Type="http://schemas.openxmlformats.org/officeDocument/2006/relationships/hyperlink" Target="https://youtu.be/qqbGvb0pjrI" TargetMode="External"/><Relationship Id="rId24" Type="http://schemas.openxmlformats.org/officeDocument/2006/relationships/hyperlink" Target="https://youtu.be/zeJS976F0hQ" TargetMode="External"/><Relationship Id="rId32" Type="http://schemas.openxmlformats.org/officeDocument/2006/relationships/hyperlink" Target="https://youtu.be/Wjj3n60-uAg" TargetMode="External"/><Relationship Id="rId37" Type="http://schemas.openxmlformats.org/officeDocument/2006/relationships/hyperlink" Target="https://youtu.be/Y_negcsfTWo" TargetMode="External"/><Relationship Id="rId40" Type="http://schemas.openxmlformats.org/officeDocument/2006/relationships/hyperlink" Target="https://youtu.be/VR4iZeGqMaU" TargetMode="External"/><Relationship Id="rId45" Type="http://schemas.openxmlformats.org/officeDocument/2006/relationships/hyperlink" Target="https://youtu.be/57_4Tum0OeY" TargetMode="External"/><Relationship Id="rId53" Type="http://schemas.openxmlformats.org/officeDocument/2006/relationships/hyperlink" Target="https://youtu.be/yb0sZrqCpLo" TargetMode="External"/><Relationship Id="rId58" Type="http://schemas.openxmlformats.org/officeDocument/2006/relationships/hyperlink" Target="https://youtu.be/wumaBXsn18k" TargetMode="External"/><Relationship Id="rId66" Type="http://schemas.openxmlformats.org/officeDocument/2006/relationships/hyperlink" Target="https://youtu.be/tvwXlYFhZS4" TargetMode="External"/><Relationship Id="rId5" Type="http://schemas.openxmlformats.org/officeDocument/2006/relationships/hyperlink" Target="https://youtu.be/TOxkaO8g4Eg" TargetMode="External"/><Relationship Id="rId61" Type="http://schemas.openxmlformats.org/officeDocument/2006/relationships/hyperlink" Target="https://youtu.be/JPH3_-qHcf4" TargetMode="External"/><Relationship Id="rId19" Type="http://schemas.openxmlformats.org/officeDocument/2006/relationships/hyperlink" Target="https://youtu.be/sCO0knyuZcM" TargetMode="External"/><Relationship Id="rId14" Type="http://schemas.openxmlformats.org/officeDocument/2006/relationships/hyperlink" Target="https://youtu.be/02IDCLcIMTc" TargetMode="External"/><Relationship Id="rId22" Type="http://schemas.openxmlformats.org/officeDocument/2006/relationships/hyperlink" Target="https://youtu.be/ebuUbNFZZbw" TargetMode="External"/><Relationship Id="rId27" Type="http://schemas.openxmlformats.org/officeDocument/2006/relationships/hyperlink" Target="https://youtu.be/eSXop_6TXRs" TargetMode="External"/><Relationship Id="rId30" Type="http://schemas.openxmlformats.org/officeDocument/2006/relationships/hyperlink" Target="https://youtu.be/kq_PnZbuhc0" TargetMode="External"/><Relationship Id="rId35" Type="http://schemas.openxmlformats.org/officeDocument/2006/relationships/hyperlink" Target="https://youtu.be/hP4kJEcUhUo" TargetMode="External"/><Relationship Id="rId43" Type="http://schemas.openxmlformats.org/officeDocument/2006/relationships/hyperlink" Target="https://youtu.be/Oi4Ih7G7vgE" TargetMode="External"/><Relationship Id="rId48" Type="http://schemas.openxmlformats.org/officeDocument/2006/relationships/hyperlink" Target="https://youtu.be/ZkqXcJbbQwM" TargetMode="External"/><Relationship Id="rId56" Type="http://schemas.openxmlformats.org/officeDocument/2006/relationships/hyperlink" Target="https://youtu.be/GR0o7cP9KRY" TargetMode="External"/><Relationship Id="rId64" Type="http://schemas.openxmlformats.org/officeDocument/2006/relationships/hyperlink" Target="https://youtu.be/soQMuieUzGE" TargetMode="External"/><Relationship Id="rId69" Type="http://schemas.openxmlformats.org/officeDocument/2006/relationships/hyperlink" Target="https://youtu.be/-3rn_Yr7qhs" TargetMode="External"/><Relationship Id="rId8" Type="http://schemas.openxmlformats.org/officeDocument/2006/relationships/hyperlink" Target="https://youtu.be/j7cRV6IAw3Q" TargetMode="External"/><Relationship Id="rId51" Type="http://schemas.openxmlformats.org/officeDocument/2006/relationships/hyperlink" Target="https://youtu.be/9Feo4_icJ-Q" TargetMode="External"/><Relationship Id="rId72" Type="http://schemas.openxmlformats.org/officeDocument/2006/relationships/vmlDrawing" Target="../drawings/vmlDrawing1.vml"/><Relationship Id="rId3" Type="http://schemas.openxmlformats.org/officeDocument/2006/relationships/hyperlink" Target="https://youtu.be/_F7HDlraaPg" TargetMode="External"/><Relationship Id="rId12" Type="http://schemas.openxmlformats.org/officeDocument/2006/relationships/hyperlink" Target="https://youtu.be/Ul5H3wIEHtU" TargetMode="External"/><Relationship Id="rId17" Type="http://schemas.openxmlformats.org/officeDocument/2006/relationships/hyperlink" Target="https://youtu.be/cpnaAiKPs6k" TargetMode="External"/><Relationship Id="rId25" Type="http://schemas.openxmlformats.org/officeDocument/2006/relationships/hyperlink" Target="https://youtu.be/x6SooFMyPH8" TargetMode="External"/><Relationship Id="rId33" Type="http://schemas.openxmlformats.org/officeDocument/2006/relationships/hyperlink" Target="https://youtu.be/7kyhnB7vK1U" TargetMode="External"/><Relationship Id="rId38" Type="http://schemas.openxmlformats.org/officeDocument/2006/relationships/hyperlink" Target="https://youtu.be/cMU1L_OJfEI" TargetMode="External"/><Relationship Id="rId46" Type="http://schemas.openxmlformats.org/officeDocument/2006/relationships/hyperlink" Target="https://youtu.be/Dq9R3tMRwWs" TargetMode="External"/><Relationship Id="rId59" Type="http://schemas.openxmlformats.org/officeDocument/2006/relationships/hyperlink" Target="https://youtu.be/1SxMP6rLNEI" TargetMode="External"/><Relationship Id="rId67" Type="http://schemas.openxmlformats.org/officeDocument/2006/relationships/hyperlink" Target="https://youtu.be/-3rn_Yr7qhs" TargetMode="External"/><Relationship Id="rId20" Type="http://schemas.openxmlformats.org/officeDocument/2006/relationships/hyperlink" Target="https://youtu.be/5EP3EBy7AGo" TargetMode="External"/><Relationship Id="rId41" Type="http://schemas.openxmlformats.org/officeDocument/2006/relationships/hyperlink" Target="https://youtu.be/O_ZNX5xsqYI" TargetMode="External"/><Relationship Id="rId54" Type="http://schemas.openxmlformats.org/officeDocument/2006/relationships/hyperlink" Target="https://youtu.be/GPqpFphA_S0" TargetMode="External"/><Relationship Id="rId62" Type="http://schemas.openxmlformats.org/officeDocument/2006/relationships/hyperlink" Target="https://youtu.be/875sh4fRYY0" TargetMode="External"/><Relationship Id="rId70" Type="http://schemas.openxmlformats.org/officeDocument/2006/relationships/hyperlink" Target="https://youtu.be/gxbR-i-B6x0" TargetMode="External"/><Relationship Id="rId1" Type="http://schemas.openxmlformats.org/officeDocument/2006/relationships/hyperlink" Target="https://youtu.be/kcPEOf2Gn20" TargetMode="External"/><Relationship Id="rId6" Type="http://schemas.openxmlformats.org/officeDocument/2006/relationships/hyperlink" Target="https://youtu.be/HNNJMUta6Rg" TargetMode="External"/><Relationship Id="rId15" Type="http://schemas.openxmlformats.org/officeDocument/2006/relationships/hyperlink" Target="https://youtu.be/uTDHMWsvXTc" TargetMode="External"/><Relationship Id="rId23" Type="http://schemas.openxmlformats.org/officeDocument/2006/relationships/hyperlink" Target="https://www.patreon.com/c/TradingStrategieAnalyse" TargetMode="External"/><Relationship Id="rId28" Type="http://schemas.openxmlformats.org/officeDocument/2006/relationships/hyperlink" Target="https://youtu.be/nZsEsRd6OTQ" TargetMode="External"/><Relationship Id="rId36" Type="http://schemas.openxmlformats.org/officeDocument/2006/relationships/hyperlink" Target="https://youtu.be/bM5mxPPnaKU" TargetMode="External"/><Relationship Id="rId49" Type="http://schemas.openxmlformats.org/officeDocument/2006/relationships/hyperlink" Target="https://youtu.be/chU98NNi7aQ" TargetMode="External"/><Relationship Id="rId57" Type="http://schemas.openxmlformats.org/officeDocument/2006/relationships/hyperlink" Target="https://youtu.be/_xM8fZBziYY" TargetMode="External"/><Relationship Id="rId10" Type="http://schemas.openxmlformats.org/officeDocument/2006/relationships/hyperlink" Target="https://youtu.be/4xEF4T4RT4k" TargetMode="External"/><Relationship Id="rId31" Type="http://schemas.openxmlformats.org/officeDocument/2006/relationships/hyperlink" Target="https://youtu.be/Y3t-uAXUlA8" TargetMode="External"/><Relationship Id="rId44" Type="http://schemas.openxmlformats.org/officeDocument/2006/relationships/hyperlink" Target="https://youtu.be/ap5Xo19zWoQ" TargetMode="External"/><Relationship Id="rId52" Type="http://schemas.openxmlformats.org/officeDocument/2006/relationships/hyperlink" Target="https://youtu.be/ph6iSbBsBXw" TargetMode="External"/><Relationship Id="rId60" Type="http://schemas.openxmlformats.org/officeDocument/2006/relationships/hyperlink" Target="https://youtu.be/7bO4PXateEk" TargetMode="External"/><Relationship Id="rId65" Type="http://schemas.openxmlformats.org/officeDocument/2006/relationships/hyperlink" Target="https://youtu.be/cNOqC7NE7x0" TargetMode="External"/><Relationship Id="rId73" Type="http://schemas.openxmlformats.org/officeDocument/2006/relationships/comments" Target="../comments1.xml"/><Relationship Id="rId4" Type="http://schemas.openxmlformats.org/officeDocument/2006/relationships/hyperlink" Target="https://youtu.be/bGczdJ3qy6o" TargetMode="External"/><Relationship Id="rId9" Type="http://schemas.openxmlformats.org/officeDocument/2006/relationships/hyperlink" Target="https://youtu.be/IuB19gRhfHU" TargetMode="External"/><Relationship Id="rId13" Type="http://schemas.openxmlformats.org/officeDocument/2006/relationships/hyperlink" Target="https://youtu.be/_IXwe_2PZE8" TargetMode="External"/><Relationship Id="rId18" Type="http://schemas.openxmlformats.org/officeDocument/2006/relationships/hyperlink" Target="https://youtu.be/ZQnmmZFA7I0" TargetMode="External"/><Relationship Id="rId39" Type="http://schemas.openxmlformats.org/officeDocument/2006/relationships/hyperlink" Target="https://youtu.be/kdaaFkKq9nE" TargetMode="External"/><Relationship Id="rId34" Type="http://schemas.openxmlformats.org/officeDocument/2006/relationships/hyperlink" Target="https://youtu.be/6EGOe6NxzGg" TargetMode="External"/><Relationship Id="rId50" Type="http://schemas.openxmlformats.org/officeDocument/2006/relationships/hyperlink" Target="https://youtu.be/O5hXRlTmgMQ" TargetMode="External"/><Relationship Id="rId55" Type="http://schemas.openxmlformats.org/officeDocument/2006/relationships/hyperlink" Target="https://youtu.be/lvuncUhjNxo" TargetMode="External"/><Relationship Id="rId7" Type="http://schemas.openxmlformats.org/officeDocument/2006/relationships/hyperlink" Target="https://youtu.be/YgOdzJkBIGA" TargetMode="External"/><Relationship Id="rId71" Type="http://schemas.openxmlformats.org/officeDocument/2006/relationships/hyperlink" Target="https://youtu.be/cIrrG0leY4c"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youtu.be/nZsEsRd6OTQ" TargetMode="External"/><Relationship Id="rId21" Type="http://schemas.openxmlformats.org/officeDocument/2006/relationships/hyperlink" Target="https://youtu.be/5EP3EBy7AGo" TargetMode="External"/><Relationship Id="rId42" Type="http://schemas.openxmlformats.org/officeDocument/2006/relationships/hyperlink" Target="https://youtu.be/zeJS976F0hQ" TargetMode="External"/><Relationship Id="rId47" Type="http://schemas.openxmlformats.org/officeDocument/2006/relationships/hyperlink" Target="https://youtu.be/ZkqXcJbbQwM" TargetMode="External"/><Relationship Id="rId63" Type="http://schemas.openxmlformats.org/officeDocument/2006/relationships/hyperlink" Target="https://youtu.be/kwhcpj5fQOU" TargetMode="External"/><Relationship Id="rId68" Type="http://schemas.openxmlformats.org/officeDocument/2006/relationships/hyperlink" Target="https://youtu.be/EuYyrm64H34" TargetMode="External"/><Relationship Id="rId2" Type="http://schemas.openxmlformats.org/officeDocument/2006/relationships/hyperlink" Target="https://youtu.be/HNNJMUta6Rg" TargetMode="External"/><Relationship Id="rId16" Type="http://schemas.openxmlformats.org/officeDocument/2006/relationships/hyperlink" Target="https://youtu.be/cpnaAiKPs6k" TargetMode="External"/><Relationship Id="rId29" Type="http://schemas.openxmlformats.org/officeDocument/2006/relationships/hyperlink" Target="https://youtu.be/kq_PnZbuhc0" TargetMode="External"/><Relationship Id="rId11" Type="http://schemas.openxmlformats.org/officeDocument/2006/relationships/hyperlink" Target="https://youtu.be/Ul5H3wIEHtU" TargetMode="External"/><Relationship Id="rId24" Type="http://schemas.openxmlformats.org/officeDocument/2006/relationships/hyperlink" Target="https://youtu.be/gSp7qRrf5nY" TargetMode="External"/><Relationship Id="rId32" Type="http://schemas.openxmlformats.org/officeDocument/2006/relationships/hyperlink" Target="https://youtu.be/6EGOe6NxzGg" TargetMode="External"/><Relationship Id="rId37" Type="http://schemas.openxmlformats.org/officeDocument/2006/relationships/hyperlink" Target="https://youtu.be/cMU1L_OJfEI" TargetMode="External"/><Relationship Id="rId40" Type="http://schemas.openxmlformats.org/officeDocument/2006/relationships/hyperlink" Target="https://youtu.be/-zFYJ4EzFLw" TargetMode="External"/><Relationship Id="rId45" Type="http://schemas.openxmlformats.org/officeDocument/2006/relationships/hyperlink" Target="https://youtu.be/Dq9R3tMRwWs" TargetMode="External"/><Relationship Id="rId53" Type="http://schemas.openxmlformats.org/officeDocument/2006/relationships/hyperlink" Target="https://youtu.be/yb0sZrqCpLo" TargetMode="External"/><Relationship Id="rId58" Type="http://schemas.openxmlformats.org/officeDocument/2006/relationships/hyperlink" Target="https://youtu.be/wumaBXsn18k" TargetMode="External"/><Relationship Id="rId66" Type="http://schemas.openxmlformats.org/officeDocument/2006/relationships/hyperlink" Target="https://youtu.be/tvwXlYFhZS4" TargetMode="External"/><Relationship Id="rId74" Type="http://schemas.openxmlformats.org/officeDocument/2006/relationships/table" Target="../tables/table1.xml"/><Relationship Id="rId5" Type="http://schemas.openxmlformats.org/officeDocument/2006/relationships/hyperlink" Target="https://youtu.be/xgGYseIfO7U" TargetMode="External"/><Relationship Id="rId61" Type="http://schemas.openxmlformats.org/officeDocument/2006/relationships/hyperlink" Target="https://youtu.be/875sh4fRYY0" TargetMode="External"/><Relationship Id="rId19" Type="http://schemas.openxmlformats.org/officeDocument/2006/relationships/hyperlink" Target="https://youtu.be/R1SDKPNrSsA" TargetMode="External"/><Relationship Id="rId14" Type="http://schemas.openxmlformats.org/officeDocument/2006/relationships/hyperlink" Target="https://youtu.be/uTDHMWsvXTc" TargetMode="External"/><Relationship Id="rId22" Type="http://schemas.openxmlformats.org/officeDocument/2006/relationships/hyperlink" Target="https://www.patreon.com/c/TradingStrategieAnalyse" TargetMode="External"/><Relationship Id="rId27" Type="http://schemas.openxmlformats.org/officeDocument/2006/relationships/hyperlink" Target="https://youtu.be/r5USVdNKb9U" TargetMode="External"/><Relationship Id="rId30" Type="http://schemas.openxmlformats.org/officeDocument/2006/relationships/hyperlink" Target="https://youtu.be/Wjj3n60-uAg" TargetMode="External"/><Relationship Id="rId35" Type="http://schemas.openxmlformats.org/officeDocument/2006/relationships/hyperlink" Target="https://youtu.be/bM5mxPPnaKU" TargetMode="External"/><Relationship Id="rId43" Type="http://schemas.openxmlformats.org/officeDocument/2006/relationships/hyperlink" Target="https://youtu.be/ap5Xo19zWoQ" TargetMode="External"/><Relationship Id="rId48" Type="http://schemas.openxmlformats.org/officeDocument/2006/relationships/hyperlink" Target="https://youtu.be/VR4iZeGqMaU" TargetMode="External"/><Relationship Id="rId56" Type="http://schemas.openxmlformats.org/officeDocument/2006/relationships/hyperlink" Target="https://youtu.be/GR0o7cP9KRY" TargetMode="External"/><Relationship Id="rId64" Type="http://schemas.openxmlformats.org/officeDocument/2006/relationships/hyperlink" Target="https://youtu.be/soQMuieUzGE" TargetMode="External"/><Relationship Id="rId69" Type="http://schemas.openxmlformats.org/officeDocument/2006/relationships/hyperlink" Target="https://youtu.be/-3rn_Yr7qhs" TargetMode="External"/><Relationship Id="rId8" Type="http://schemas.openxmlformats.org/officeDocument/2006/relationships/hyperlink" Target="https://youtu.be/IuB19gRhfHU" TargetMode="External"/><Relationship Id="rId51" Type="http://schemas.openxmlformats.org/officeDocument/2006/relationships/hyperlink" Target="https://youtu.be/9Feo4_icJ-Q" TargetMode="External"/><Relationship Id="rId72" Type="http://schemas.openxmlformats.org/officeDocument/2006/relationships/drawing" Target="../drawings/drawing1.xml"/><Relationship Id="rId3" Type="http://schemas.openxmlformats.org/officeDocument/2006/relationships/hyperlink" Target="https://youtu.be/bGczdJ3qy6o" TargetMode="External"/><Relationship Id="rId12" Type="http://schemas.openxmlformats.org/officeDocument/2006/relationships/hyperlink" Target="https://youtu.be/02IDCLcIMTc" TargetMode="External"/><Relationship Id="rId17" Type="http://schemas.openxmlformats.org/officeDocument/2006/relationships/hyperlink" Target="https://youtu.be/ZQnmmZFA7I0" TargetMode="External"/><Relationship Id="rId25" Type="http://schemas.openxmlformats.org/officeDocument/2006/relationships/hyperlink" Target="https://youtu.be/eSXop_6TXRs" TargetMode="External"/><Relationship Id="rId33" Type="http://schemas.openxmlformats.org/officeDocument/2006/relationships/hyperlink" Target="https://youtu.be/Y3t-uAXUlA8" TargetMode="External"/><Relationship Id="rId38" Type="http://schemas.openxmlformats.org/officeDocument/2006/relationships/hyperlink" Target="https://youtu.be/kdaaFkKq9nE" TargetMode="External"/><Relationship Id="rId46" Type="http://schemas.openxmlformats.org/officeDocument/2006/relationships/hyperlink" Target="https://youtu.be/qgQNHtjdQH4" TargetMode="External"/><Relationship Id="rId59" Type="http://schemas.openxmlformats.org/officeDocument/2006/relationships/hyperlink" Target="https://youtu.be/1SxMP6rLNEI" TargetMode="External"/><Relationship Id="rId67" Type="http://schemas.openxmlformats.org/officeDocument/2006/relationships/hyperlink" Target="https://youtu.be/-3rn_Yr7qhs" TargetMode="External"/><Relationship Id="rId20" Type="http://schemas.openxmlformats.org/officeDocument/2006/relationships/hyperlink" Target="https://youtu.be/ebuUbNFZZbw" TargetMode="External"/><Relationship Id="rId41" Type="http://schemas.openxmlformats.org/officeDocument/2006/relationships/hyperlink" Target="https://youtu.be/Oi4Ih7G7vgE" TargetMode="External"/><Relationship Id="rId54" Type="http://schemas.openxmlformats.org/officeDocument/2006/relationships/hyperlink" Target="https://youtu.be/GPqpFphA_S0" TargetMode="External"/><Relationship Id="rId62" Type="http://schemas.openxmlformats.org/officeDocument/2006/relationships/hyperlink" Target="https://youtu.be/JPH3_-qHcf4" TargetMode="External"/><Relationship Id="rId70" Type="http://schemas.openxmlformats.org/officeDocument/2006/relationships/hyperlink" Target="https://youtu.be/gxbR-i-B6x0" TargetMode="External"/><Relationship Id="rId75" Type="http://schemas.openxmlformats.org/officeDocument/2006/relationships/comments" Target="../comments2.xml"/><Relationship Id="rId1" Type="http://schemas.openxmlformats.org/officeDocument/2006/relationships/hyperlink" Target="https://youtu.be/kcPEOf2Gn20" TargetMode="External"/><Relationship Id="rId6" Type="http://schemas.openxmlformats.org/officeDocument/2006/relationships/hyperlink" Target="https://youtu.be/YgOdzJkBIGA" TargetMode="External"/><Relationship Id="rId15" Type="http://schemas.openxmlformats.org/officeDocument/2006/relationships/hyperlink" Target="https://youtu.be/L-NaoGbwxR4" TargetMode="External"/><Relationship Id="rId23" Type="http://schemas.openxmlformats.org/officeDocument/2006/relationships/hyperlink" Target="https://youtu.be/x6SooFMyPH8" TargetMode="External"/><Relationship Id="rId28" Type="http://schemas.openxmlformats.org/officeDocument/2006/relationships/hyperlink" Target="https://youtu.be/_F7HDlraaPg" TargetMode="External"/><Relationship Id="rId36" Type="http://schemas.openxmlformats.org/officeDocument/2006/relationships/hyperlink" Target="https://youtu.be/Y_negcsfTWo" TargetMode="External"/><Relationship Id="rId49" Type="http://schemas.openxmlformats.org/officeDocument/2006/relationships/hyperlink" Target="https://youtu.be/chU98NNi7aQ" TargetMode="External"/><Relationship Id="rId57" Type="http://schemas.openxmlformats.org/officeDocument/2006/relationships/hyperlink" Target="https://youtu.be/_xM8fZBziYY" TargetMode="External"/><Relationship Id="rId10" Type="http://schemas.openxmlformats.org/officeDocument/2006/relationships/hyperlink" Target="https://youtu.be/qqbGvb0pjrI" TargetMode="External"/><Relationship Id="rId31" Type="http://schemas.openxmlformats.org/officeDocument/2006/relationships/hyperlink" Target="https://youtu.be/7kyhnB7vK1U" TargetMode="External"/><Relationship Id="rId44" Type="http://schemas.openxmlformats.org/officeDocument/2006/relationships/hyperlink" Target="https://youtu.be/57_4Tum0OeY" TargetMode="External"/><Relationship Id="rId52" Type="http://schemas.openxmlformats.org/officeDocument/2006/relationships/hyperlink" Target="https://youtu.be/ph6iSbBsBXw" TargetMode="External"/><Relationship Id="rId60" Type="http://schemas.openxmlformats.org/officeDocument/2006/relationships/hyperlink" Target="https://youtu.be/7bO4PXateEk" TargetMode="External"/><Relationship Id="rId65" Type="http://schemas.openxmlformats.org/officeDocument/2006/relationships/hyperlink" Target="https://youtu.be/cNOqC7NE7x0" TargetMode="External"/><Relationship Id="rId73" Type="http://schemas.openxmlformats.org/officeDocument/2006/relationships/vmlDrawing" Target="../drawings/vmlDrawing2.vml"/><Relationship Id="rId4" Type="http://schemas.openxmlformats.org/officeDocument/2006/relationships/hyperlink" Target="https://youtu.be/TOxkaO8g4Eg" TargetMode="External"/><Relationship Id="rId9" Type="http://schemas.openxmlformats.org/officeDocument/2006/relationships/hyperlink" Target="https://youtu.be/4xEF4T4RT4k" TargetMode="External"/><Relationship Id="rId13" Type="http://schemas.openxmlformats.org/officeDocument/2006/relationships/hyperlink" Target="https://youtu.be/_IXwe_2PZE8" TargetMode="External"/><Relationship Id="rId18" Type="http://schemas.openxmlformats.org/officeDocument/2006/relationships/hyperlink" Target="https://youtu.be/sCO0knyuZcM" TargetMode="External"/><Relationship Id="rId39" Type="http://schemas.openxmlformats.org/officeDocument/2006/relationships/hyperlink" Target="https://youtu.be/O_ZNX5xsqYI" TargetMode="External"/><Relationship Id="rId34" Type="http://schemas.openxmlformats.org/officeDocument/2006/relationships/hyperlink" Target="https://youtu.be/hP4kJEcUhUo" TargetMode="External"/><Relationship Id="rId50" Type="http://schemas.openxmlformats.org/officeDocument/2006/relationships/hyperlink" Target="https://youtu.be/O5hXRlTmgMQ" TargetMode="External"/><Relationship Id="rId55" Type="http://schemas.openxmlformats.org/officeDocument/2006/relationships/hyperlink" Target="https://youtu.be/lvuncUhjNxo" TargetMode="External"/><Relationship Id="rId7" Type="http://schemas.openxmlformats.org/officeDocument/2006/relationships/hyperlink" Target="https://youtu.be/j7cRV6IAw3Q" TargetMode="External"/><Relationship Id="rId71" Type="http://schemas.openxmlformats.org/officeDocument/2006/relationships/hyperlink" Target="https://youtu.be/cIrrG0leY4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67"/>
  <sheetViews>
    <sheetView showGridLines="0" workbookViewId="0">
      <selection activeCell="L70" activeCellId="1" sqref="B2 B2:L70"/>
    </sheetView>
  </sheetViews>
  <sheetFormatPr baseColWidth="10" defaultColWidth="12.5703125" defaultRowHeight="15.75" customHeight="1" x14ac:dyDescent="0.2"/>
  <cols>
    <col min="1" max="1" width="3.42578125" customWidth="1"/>
    <col min="2" max="2" width="5.5703125" customWidth="1"/>
    <col min="3" max="3" width="69.28515625" customWidth="1"/>
    <col min="4" max="4" width="13.7109375" customWidth="1"/>
    <col min="5" max="5" width="10.42578125" customWidth="1"/>
    <col min="6" max="6" width="12.85546875" customWidth="1"/>
    <col min="7" max="7" width="13.42578125" customWidth="1"/>
    <col min="8" max="8" width="26" customWidth="1"/>
    <col min="9" max="9" width="18.42578125" customWidth="1"/>
    <col min="10" max="10" width="14.42578125" customWidth="1"/>
    <col min="11" max="11" width="19" customWidth="1"/>
    <col min="12" max="12" width="26.42578125" customWidth="1"/>
  </cols>
  <sheetData>
    <row r="1" spans="1:24" x14ac:dyDescent="0.2">
      <c r="A1" s="1"/>
      <c r="B1" s="2"/>
      <c r="C1" s="1"/>
      <c r="D1" s="2"/>
      <c r="E1" s="2"/>
      <c r="F1" s="2"/>
      <c r="G1" s="2"/>
      <c r="H1" s="1"/>
      <c r="I1" s="2"/>
      <c r="J1" s="3"/>
      <c r="K1" s="3"/>
      <c r="L1" s="3"/>
      <c r="M1" s="3"/>
      <c r="N1" s="3"/>
      <c r="O1" s="3"/>
      <c r="P1" s="3"/>
      <c r="Q1" s="3"/>
      <c r="R1" s="3"/>
      <c r="S1" s="3"/>
    </row>
    <row r="2" spans="1:24" ht="15.75" customHeight="1" x14ac:dyDescent="0.25">
      <c r="A2" s="4"/>
      <c r="B2" s="5" t="s">
        <v>0</v>
      </c>
      <c r="C2" s="5" t="s">
        <v>1</v>
      </c>
      <c r="D2" s="6" t="s">
        <v>2</v>
      </c>
      <c r="E2" s="6" t="s">
        <v>3</v>
      </c>
      <c r="F2" s="5" t="s">
        <v>4</v>
      </c>
      <c r="G2" s="7" t="s">
        <v>5</v>
      </c>
      <c r="H2" s="8" t="s">
        <v>6</v>
      </c>
      <c r="I2" s="9" t="s">
        <v>7</v>
      </c>
      <c r="J2" s="6" t="s">
        <v>8</v>
      </c>
      <c r="K2" s="6" t="s">
        <v>9</v>
      </c>
      <c r="L2" s="5" t="s">
        <v>10</v>
      </c>
      <c r="M2" s="4"/>
      <c r="N2" s="10" t="s">
        <v>11</v>
      </c>
      <c r="O2" s="11"/>
      <c r="P2" s="11"/>
      <c r="Q2" s="11"/>
      <c r="R2" s="11"/>
      <c r="S2" s="11"/>
      <c r="T2" s="11"/>
      <c r="U2" s="11"/>
      <c r="V2" s="11"/>
      <c r="W2" s="11"/>
      <c r="X2" s="11"/>
    </row>
    <row r="3" spans="1:24" x14ac:dyDescent="0.2">
      <c r="A3" s="4"/>
      <c r="B3" s="12">
        <v>1</v>
      </c>
      <c r="C3" s="1" t="s">
        <v>12</v>
      </c>
      <c r="D3" s="13" t="s">
        <v>13</v>
      </c>
      <c r="E3" s="13" t="s">
        <v>14</v>
      </c>
      <c r="F3" s="12" t="s">
        <v>15</v>
      </c>
      <c r="G3" s="14" t="s">
        <v>16</v>
      </c>
      <c r="H3" s="15">
        <v>1.9198</v>
      </c>
      <c r="I3" s="16">
        <v>0.152</v>
      </c>
      <c r="J3" s="17">
        <v>2.59</v>
      </c>
      <c r="K3" s="18">
        <v>0.92689999999999995</v>
      </c>
      <c r="L3" s="19" t="s">
        <v>17</v>
      </c>
      <c r="M3" s="4"/>
      <c r="N3" s="20" t="s">
        <v>18</v>
      </c>
      <c r="O3" s="11"/>
      <c r="P3" s="11"/>
      <c r="Q3" s="11"/>
      <c r="R3" s="11"/>
      <c r="S3" s="11"/>
      <c r="T3" s="11"/>
      <c r="U3" s="11"/>
      <c r="V3" s="11"/>
      <c r="W3" s="11"/>
      <c r="X3" s="11"/>
    </row>
    <row r="4" spans="1:24" x14ac:dyDescent="0.2">
      <c r="A4" s="4"/>
      <c r="B4" s="12">
        <v>2</v>
      </c>
      <c r="C4" s="21" t="s">
        <v>19</v>
      </c>
      <c r="D4" s="13" t="s">
        <v>13</v>
      </c>
      <c r="E4" s="13" t="s">
        <v>14</v>
      </c>
      <c r="F4" s="12" t="s">
        <v>20</v>
      </c>
      <c r="G4" s="14" t="s">
        <v>21</v>
      </c>
      <c r="H4" s="15">
        <v>1.7682</v>
      </c>
      <c r="I4" s="22">
        <v>0.20019999999999999</v>
      </c>
      <c r="J4" s="23">
        <v>2.2000000000000002</v>
      </c>
      <c r="K4" s="24">
        <v>2.0358999999999998</v>
      </c>
      <c r="L4" s="25" t="s">
        <v>22</v>
      </c>
      <c r="M4" s="4"/>
      <c r="N4" s="26" t="s">
        <v>23</v>
      </c>
      <c r="O4" s="11"/>
      <c r="P4" s="11"/>
      <c r="Q4" s="11"/>
      <c r="R4" s="11"/>
      <c r="S4" s="11"/>
      <c r="T4" s="11"/>
      <c r="U4" s="11"/>
      <c r="V4" s="11"/>
      <c r="W4" s="11"/>
      <c r="X4" s="11"/>
    </row>
    <row r="5" spans="1:24" x14ac:dyDescent="0.2">
      <c r="A5" s="4"/>
      <c r="B5" s="12">
        <v>3</v>
      </c>
      <c r="C5" s="21" t="s">
        <v>24</v>
      </c>
      <c r="D5" s="13" t="s">
        <v>25</v>
      </c>
      <c r="E5" s="13" t="s">
        <v>14</v>
      </c>
      <c r="F5" s="12" t="s">
        <v>26</v>
      </c>
      <c r="G5" s="14" t="s">
        <v>27</v>
      </c>
      <c r="H5" s="15">
        <v>1.4805999999999999</v>
      </c>
      <c r="I5" s="22">
        <v>0.22</v>
      </c>
      <c r="J5" s="17">
        <v>2.38</v>
      </c>
      <c r="K5" s="24">
        <v>7.3029999999999999</v>
      </c>
      <c r="L5" s="27" t="s">
        <v>28</v>
      </c>
      <c r="M5" s="4"/>
      <c r="N5" s="28" t="s">
        <v>29</v>
      </c>
      <c r="O5" s="11"/>
      <c r="P5" s="11"/>
      <c r="Q5" s="11"/>
      <c r="R5" s="11"/>
      <c r="S5" s="11"/>
      <c r="T5" s="11"/>
      <c r="U5" s="11"/>
      <c r="V5" s="11"/>
      <c r="W5" s="11"/>
      <c r="X5" s="11"/>
    </row>
    <row r="6" spans="1:24" x14ac:dyDescent="0.2">
      <c r="A6" s="4"/>
      <c r="B6" s="12">
        <v>4</v>
      </c>
      <c r="C6" s="29" t="s">
        <v>30</v>
      </c>
      <c r="D6" s="30" t="s">
        <v>31</v>
      </c>
      <c r="E6" s="30" t="s">
        <v>14</v>
      </c>
      <c r="F6" s="31" t="s">
        <v>32</v>
      </c>
      <c r="G6" s="32" t="s">
        <v>33</v>
      </c>
      <c r="H6" s="33">
        <v>1.44</v>
      </c>
      <c r="I6" s="22">
        <v>0.24</v>
      </c>
      <c r="J6" s="34">
        <v>2.2599999999999998</v>
      </c>
      <c r="K6" s="35">
        <v>0.71709999999999996</v>
      </c>
      <c r="L6" s="27" t="s">
        <v>34</v>
      </c>
      <c r="M6" s="4"/>
      <c r="N6" s="36" t="s">
        <v>35</v>
      </c>
      <c r="O6" s="11"/>
      <c r="P6" s="11"/>
      <c r="Q6" s="11"/>
      <c r="R6" s="11"/>
      <c r="S6" s="11"/>
      <c r="T6" s="11"/>
      <c r="U6" s="11"/>
      <c r="V6" s="11"/>
      <c r="W6" s="11"/>
      <c r="X6" s="11"/>
    </row>
    <row r="7" spans="1:24" x14ac:dyDescent="0.2">
      <c r="A7" s="4"/>
      <c r="B7" s="12">
        <v>5</v>
      </c>
      <c r="C7" s="21" t="s">
        <v>36</v>
      </c>
      <c r="D7" s="13" t="s">
        <v>37</v>
      </c>
      <c r="E7" s="13" t="s">
        <v>14</v>
      </c>
      <c r="F7" s="12" t="s">
        <v>38</v>
      </c>
      <c r="G7" s="14" t="s">
        <v>33</v>
      </c>
      <c r="H7" s="15">
        <v>1.44</v>
      </c>
      <c r="I7" s="35">
        <v>0.1</v>
      </c>
      <c r="J7" s="17">
        <v>2.2599999999999998</v>
      </c>
      <c r="K7" s="37">
        <v>4.1099999999999998E-2</v>
      </c>
      <c r="L7" s="27" t="s">
        <v>39</v>
      </c>
      <c r="M7" s="11"/>
      <c r="N7" s="11"/>
      <c r="O7" s="11"/>
      <c r="P7" s="11"/>
      <c r="Q7" s="11"/>
      <c r="R7" s="11"/>
      <c r="S7" s="11"/>
      <c r="T7" s="11"/>
      <c r="U7" s="11"/>
      <c r="V7" s="11"/>
      <c r="W7" s="11"/>
      <c r="X7" s="11"/>
    </row>
    <row r="8" spans="1:24" x14ac:dyDescent="0.2">
      <c r="A8" s="4"/>
      <c r="B8" s="12">
        <v>6</v>
      </c>
      <c r="C8" s="21" t="s">
        <v>40</v>
      </c>
      <c r="D8" s="13" t="s">
        <v>13</v>
      </c>
      <c r="E8" s="13" t="s">
        <v>14</v>
      </c>
      <c r="F8" s="12" t="s">
        <v>41</v>
      </c>
      <c r="G8" s="14" t="s">
        <v>33</v>
      </c>
      <c r="H8" s="15">
        <v>1.4388000000000001</v>
      </c>
      <c r="I8" s="16">
        <v>0.14199999999999999</v>
      </c>
      <c r="J8" s="17">
        <v>2.2000000000000002</v>
      </c>
      <c r="K8" s="24">
        <v>1.6411</v>
      </c>
      <c r="L8" s="38" t="s">
        <v>42</v>
      </c>
      <c r="M8" s="11"/>
      <c r="N8" s="11"/>
      <c r="O8" s="11"/>
      <c r="P8" s="11"/>
      <c r="Q8" s="11"/>
      <c r="R8" s="11"/>
      <c r="S8" s="11"/>
      <c r="T8" s="11"/>
      <c r="U8" s="11"/>
      <c r="V8" s="11"/>
      <c r="W8" s="11"/>
      <c r="X8" s="11"/>
    </row>
    <row r="9" spans="1:24" x14ac:dyDescent="0.2">
      <c r="A9" s="4"/>
      <c r="B9" s="12">
        <v>7</v>
      </c>
      <c r="C9" s="29" t="s">
        <v>43</v>
      </c>
      <c r="D9" s="30" t="s">
        <v>44</v>
      </c>
      <c r="E9" s="30" t="s">
        <v>45</v>
      </c>
      <c r="F9" s="31" t="s">
        <v>46</v>
      </c>
      <c r="G9" s="32" t="s">
        <v>47</v>
      </c>
      <c r="H9" s="33">
        <v>1.3804000000000001</v>
      </c>
      <c r="I9" s="35">
        <v>0.1172</v>
      </c>
      <c r="J9" s="34">
        <v>2.4700000000000002</v>
      </c>
      <c r="K9" s="16">
        <v>0.12759999999999999</v>
      </c>
      <c r="L9" s="39" t="s">
        <v>48</v>
      </c>
      <c r="M9" s="11"/>
      <c r="N9" s="11"/>
      <c r="O9" s="11"/>
      <c r="P9" s="11"/>
      <c r="Q9" s="11"/>
      <c r="R9" s="11"/>
      <c r="S9" s="11"/>
      <c r="T9" s="11"/>
      <c r="U9" s="11"/>
      <c r="V9" s="11"/>
      <c r="W9" s="11"/>
      <c r="X9" s="11"/>
    </row>
    <row r="10" spans="1:24" x14ac:dyDescent="0.2">
      <c r="A10" s="4"/>
      <c r="B10" s="12">
        <v>8</v>
      </c>
      <c r="C10" s="21" t="s">
        <v>49</v>
      </c>
      <c r="D10" s="13" t="s">
        <v>37</v>
      </c>
      <c r="E10" s="13" t="s">
        <v>45</v>
      </c>
      <c r="F10" s="12" t="s">
        <v>50</v>
      </c>
      <c r="G10" s="14" t="s">
        <v>47</v>
      </c>
      <c r="H10" s="40">
        <v>1.36</v>
      </c>
      <c r="I10" s="35">
        <v>0.14000000000000001</v>
      </c>
      <c r="J10" s="17">
        <v>2.54</v>
      </c>
      <c r="K10" s="41">
        <f>H10/2737*365</f>
        <v>0.1813664596273292</v>
      </c>
      <c r="L10" s="42" t="s">
        <v>51</v>
      </c>
      <c r="M10" s="11"/>
      <c r="N10" s="11"/>
      <c r="O10" s="11"/>
      <c r="P10" s="11"/>
      <c r="Q10" s="11"/>
      <c r="R10" s="11"/>
      <c r="S10" s="11"/>
      <c r="T10" s="11"/>
      <c r="U10" s="11"/>
      <c r="V10" s="11"/>
      <c r="W10" s="11"/>
      <c r="X10" s="11"/>
    </row>
    <row r="11" spans="1:24" x14ac:dyDescent="0.2">
      <c r="A11" s="4"/>
      <c r="B11" s="12">
        <v>9</v>
      </c>
      <c r="C11" s="29" t="s">
        <v>52</v>
      </c>
      <c r="D11" s="30" t="s">
        <v>53</v>
      </c>
      <c r="E11" s="30" t="s">
        <v>45</v>
      </c>
      <c r="F11" s="31" t="s">
        <v>54</v>
      </c>
      <c r="G11" s="32" t="s">
        <v>55</v>
      </c>
      <c r="H11" s="33">
        <v>1.3</v>
      </c>
      <c r="I11" s="35">
        <v>0.1</v>
      </c>
      <c r="J11" s="34">
        <v>2.44</v>
      </c>
      <c r="K11" s="43">
        <v>16.312100000000001</v>
      </c>
      <c r="L11" s="39" t="s">
        <v>56</v>
      </c>
      <c r="M11" s="11"/>
      <c r="N11" s="11"/>
      <c r="O11" s="11"/>
      <c r="P11" s="11"/>
      <c r="Q11" s="11"/>
      <c r="R11" s="11"/>
      <c r="S11" s="11"/>
      <c r="T11" s="11"/>
      <c r="U11" s="11"/>
      <c r="V11" s="11"/>
      <c r="W11" s="11"/>
      <c r="X11" s="11"/>
    </row>
    <row r="12" spans="1:24" x14ac:dyDescent="0.2">
      <c r="A12" s="4"/>
      <c r="B12" s="12">
        <v>10</v>
      </c>
      <c r="C12" s="29" t="s">
        <v>57</v>
      </c>
      <c r="D12" s="30" t="s">
        <v>25</v>
      </c>
      <c r="E12" s="30" t="s">
        <v>45</v>
      </c>
      <c r="F12" s="31" t="s">
        <v>58</v>
      </c>
      <c r="G12" s="32" t="s">
        <v>55</v>
      </c>
      <c r="H12" s="33">
        <v>1.3</v>
      </c>
      <c r="I12" s="35">
        <v>0.1</v>
      </c>
      <c r="J12" s="34">
        <v>2.44</v>
      </c>
      <c r="K12" s="43">
        <v>7.9082999999999997</v>
      </c>
      <c r="L12" s="44" t="s">
        <v>59</v>
      </c>
      <c r="M12" s="11"/>
      <c r="N12" s="11"/>
      <c r="O12" s="11"/>
      <c r="P12" s="11"/>
      <c r="Q12" s="11"/>
      <c r="R12" s="11"/>
      <c r="S12" s="11"/>
      <c r="T12" s="11"/>
      <c r="U12" s="11"/>
      <c r="V12" s="11"/>
      <c r="W12" s="11"/>
      <c r="X12" s="11"/>
    </row>
    <row r="13" spans="1:24" x14ac:dyDescent="0.2">
      <c r="A13" s="4"/>
      <c r="B13" s="12">
        <v>11</v>
      </c>
      <c r="C13" s="21" t="s">
        <v>60</v>
      </c>
      <c r="D13" s="13" t="s">
        <v>31</v>
      </c>
      <c r="E13" s="13" t="s">
        <v>45</v>
      </c>
      <c r="F13" s="12" t="s">
        <v>61</v>
      </c>
      <c r="G13" s="14" t="s">
        <v>55</v>
      </c>
      <c r="H13" s="40">
        <v>1.3</v>
      </c>
      <c r="I13" s="35">
        <v>0.1</v>
      </c>
      <c r="J13" s="17">
        <v>2.44</v>
      </c>
      <c r="K13" s="18">
        <v>0.62429999999999997</v>
      </c>
      <c r="L13" s="44" t="s">
        <v>62</v>
      </c>
      <c r="M13" s="11"/>
      <c r="N13" s="11"/>
      <c r="O13" s="11"/>
      <c r="P13" s="11"/>
      <c r="Q13" s="11"/>
      <c r="R13" s="11"/>
      <c r="S13" s="11"/>
      <c r="T13" s="11"/>
      <c r="U13" s="11"/>
      <c r="V13" s="11"/>
      <c r="W13" s="11"/>
      <c r="X13" s="11"/>
    </row>
    <row r="14" spans="1:24" x14ac:dyDescent="0.2">
      <c r="A14" s="4"/>
      <c r="B14" s="12">
        <v>12</v>
      </c>
      <c r="C14" s="21" t="s">
        <v>63</v>
      </c>
      <c r="D14" s="13" t="s">
        <v>37</v>
      </c>
      <c r="E14" s="13" t="s">
        <v>45</v>
      </c>
      <c r="F14" s="12" t="s">
        <v>64</v>
      </c>
      <c r="G14" s="14" t="s">
        <v>65</v>
      </c>
      <c r="H14" s="40">
        <v>1.24</v>
      </c>
      <c r="I14" s="35">
        <v>0.1</v>
      </c>
      <c r="J14" s="17">
        <v>2.34</v>
      </c>
      <c r="K14" s="41">
        <f>H14/8030*365</f>
        <v>5.6363636363636366E-2</v>
      </c>
      <c r="L14" s="42" t="s">
        <v>66</v>
      </c>
      <c r="M14" s="11"/>
      <c r="N14" s="11"/>
      <c r="O14" s="11"/>
      <c r="P14" s="11"/>
      <c r="Q14" s="11"/>
      <c r="R14" s="11"/>
      <c r="S14" s="11"/>
      <c r="T14" s="11"/>
      <c r="U14" s="11"/>
      <c r="V14" s="11"/>
      <c r="W14" s="11"/>
      <c r="X14" s="11"/>
    </row>
    <row r="15" spans="1:24" x14ac:dyDescent="0.2">
      <c r="A15" s="4"/>
      <c r="B15" s="12">
        <v>13</v>
      </c>
      <c r="C15" s="29" t="s">
        <v>67</v>
      </c>
      <c r="D15" s="30" t="s">
        <v>25</v>
      </c>
      <c r="E15" s="30" t="s">
        <v>45</v>
      </c>
      <c r="F15" s="31" t="s">
        <v>68</v>
      </c>
      <c r="G15" s="32" t="s">
        <v>69</v>
      </c>
      <c r="H15" s="33">
        <v>1.2305999999999999</v>
      </c>
      <c r="I15" s="35">
        <v>0.12</v>
      </c>
      <c r="J15" s="34">
        <v>2.31</v>
      </c>
      <c r="K15" s="43">
        <v>6.8056000000000001</v>
      </c>
      <c r="L15" s="45" t="s">
        <v>70</v>
      </c>
      <c r="M15" s="11"/>
      <c r="N15" s="11"/>
      <c r="Q15" s="1"/>
      <c r="R15" s="1"/>
      <c r="S15" s="1"/>
      <c r="T15" s="1"/>
      <c r="U15" s="1"/>
      <c r="V15" s="1"/>
      <c r="W15" s="1"/>
      <c r="X15" s="1"/>
    </row>
    <row r="16" spans="1:24" x14ac:dyDescent="0.2">
      <c r="A16" s="4"/>
      <c r="B16" s="12">
        <v>14</v>
      </c>
      <c r="C16" s="21" t="s">
        <v>71</v>
      </c>
      <c r="D16" s="13" t="s">
        <v>13</v>
      </c>
      <c r="E16" s="13" t="s">
        <v>14</v>
      </c>
      <c r="F16" s="12" t="s">
        <v>72</v>
      </c>
      <c r="G16" s="14" t="s">
        <v>73</v>
      </c>
      <c r="H16" s="40">
        <v>1.2</v>
      </c>
      <c r="I16" s="35">
        <v>0.1</v>
      </c>
      <c r="J16" s="23">
        <v>2</v>
      </c>
      <c r="K16" s="24">
        <v>4.0556000000000001</v>
      </c>
      <c r="L16" s="45" t="s">
        <v>74</v>
      </c>
      <c r="M16" s="11"/>
      <c r="N16" s="11"/>
      <c r="Q16" s="1"/>
      <c r="R16" s="1"/>
      <c r="S16" s="1"/>
      <c r="T16" s="1"/>
      <c r="U16" s="1"/>
      <c r="V16" s="1"/>
      <c r="W16" s="1"/>
      <c r="X16" s="1"/>
    </row>
    <row r="17" spans="1:24" x14ac:dyDescent="0.2">
      <c r="A17" s="4"/>
      <c r="B17" s="12">
        <v>15</v>
      </c>
      <c r="C17" s="21" t="s">
        <v>75</v>
      </c>
      <c r="D17" s="13" t="s">
        <v>76</v>
      </c>
      <c r="E17" s="13" t="s">
        <v>14</v>
      </c>
      <c r="F17" s="12" t="s">
        <v>77</v>
      </c>
      <c r="G17" s="14" t="s">
        <v>78</v>
      </c>
      <c r="H17" s="40">
        <v>1.1200000000000001</v>
      </c>
      <c r="I17" s="35">
        <v>0.1</v>
      </c>
      <c r="J17" s="23">
        <v>1.92</v>
      </c>
      <c r="K17" s="24">
        <v>4.8094000000000001</v>
      </c>
      <c r="L17" s="46" t="s">
        <v>79</v>
      </c>
      <c r="M17" s="11"/>
      <c r="N17" s="11"/>
      <c r="Q17" s="1"/>
      <c r="R17" s="1"/>
      <c r="S17" s="1"/>
      <c r="T17" s="1"/>
      <c r="U17" s="1"/>
      <c r="V17" s="1"/>
      <c r="W17" s="1"/>
      <c r="X17" s="1"/>
    </row>
    <row r="18" spans="1:24" x14ac:dyDescent="0.2">
      <c r="A18" s="4"/>
      <c r="B18" s="12">
        <v>16</v>
      </c>
      <c r="C18" s="21" t="s">
        <v>80</v>
      </c>
      <c r="D18" s="13" t="s">
        <v>25</v>
      </c>
      <c r="E18" s="13" t="s">
        <v>14</v>
      </c>
      <c r="F18" s="12" t="s">
        <v>81</v>
      </c>
      <c r="G18" s="14" t="s">
        <v>78</v>
      </c>
      <c r="H18" s="40">
        <v>1.1200000000000001</v>
      </c>
      <c r="I18" s="16">
        <v>0.18</v>
      </c>
      <c r="J18" s="23">
        <v>1.92</v>
      </c>
      <c r="K18" s="24">
        <v>1.5310999999999999</v>
      </c>
      <c r="L18" s="46" t="s">
        <v>82</v>
      </c>
      <c r="M18" s="11"/>
      <c r="N18" s="11"/>
      <c r="Q18" s="1"/>
      <c r="R18" s="1"/>
      <c r="S18" s="1"/>
      <c r="T18" s="1"/>
      <c r="U18" s="1"/>
      <c r="V18" s="1"/>
      <c r="W18" s="1"/>
      <c r="X18" s="1"/>
    </row>
    <row r="19" spans="1:24" x14ac:dyDescent="0.2">
      <c r="A19" s="4"/>
      <c r="B19" s="12">
        <v>17</v>
      </c>
      <c r="C19" s="21" t="s">
        <v>83</v>
      </c>
      <c r="D19" s="13" t="s">
        <v>84</v>
      </c>
      <c r="E19" s="13" t="s">
        <v>14</v>
      </c>
      <c r="F19" s="12" t="s">
        <v>85</v>
      </c>
      <c r="G19" s="14" t="s">
        <v>78</v>
      </c>
      <c r="H19" s="40">
        <v>1.1200000000000001</v>
      </c>
      <c r="I19" s="16">
        <v>0.16</v>
      </c>
      <c r="J19" s="23">
        <v>1.92</v>
      </c>
      <c r="K19" s="18">
        <v>0.54220000000000002</v>
      </c>
      <c r="L19" s="46" t="s">
        <v>86</v>
      </c>
      <c r="M19" s="11"/>
      <c r="N19" s="11"/>
      <c r="Q19" s="1"/>
      <c r="R19" s="1"/>
      <c r="S19" s="1"/>
      <c r="T19" s="1"/>
      <c r="U19" s="1"/>
      <c r="V19" s="1"/>
      <c r="W19" s="1"/>
      <c r="X19" s="1"/>
    </row>
    <row r="20" spans="1:24" x14ac:dyDescent="0.2">
      <c r="A20" s="4"/>
      <c r="B20" s="12">
        <v>18</v>
      </c>
      <c r="C20" s="21" t="s">
        <v>87</v>
      </c>
      <c r="D20" s="13" t="s">
        <v>31</v>
      </c>
      <c r="E20" s="13" t="s">
        <v>45</v>
      </c>
      <c r="F20" s="12" t="s">
        <v>88</v>
      </c>
      <c r="G20" s="14" t="s">
        <v>89</v>
      </c>
      <c r="H20" s="40">
        <v>1.1200000000000001</v>
      </c>
      <c r="I20" s="43">
        <v>0.08</v>
      </c>
      <c r="J20" s="23">
        <v>2.17</v>
      </c>
      <c r="K20" s="18">
        <f>H20/1095*365</f>
        <v>0.37333333333333335</v>
      </c>
      <c r="L20" s="42" t="s">
        <v>90</v>
      </c>
      <c r="M20" s="11"/>
      <c r="N20" s="11"/>
      <c r="Q20" s="1"/>
      <c r="R20" s="1"/>
      <c r="S20" s="1"/>
      <c r="T20" s="1"/>
      <c r="U20" s="1"/>
      <c r="V20" s="1"/>
      <c r="W20" s="1"/>
      <c r="X20" s="1"/>
    </row>
    <row r="21" spans="1:24" x14ac:dyDescent="0.2">
      <c r="A21" s="4"/>
      <c r="B21" s="12">
        <v>19</v>
      </c>
      <c r="C21" s="21" t="s">
        <v>91</v>
      </c>
      <c r="D21" s="13" t="s">
        <v>92</v>
      </c>
      <c r="E21" s="13" t="s">
        <v>14</v>
      </c>
      <c r="F21" s="12" t="s">
        <v>93</v>
      </c>
      <c r="G21" s="14" t="s">
        <v>78</v>
      </c>
      <c r="H21" s="40">
        <v>1.1200000000000001</v>
      </c>
      <c r="I21" s="16">
        <v>0.18</v>
      </c>
      <c r="J21" s="23">
        <v>1.92</v>
      </c>
      <c r="K21" s="41">
        <v>0.14449999999999999</v>
      </c>
      <c r="L21" s="42" t="s">
        <v>94</v>
      </c>
      <c r="M21" s="11"/>
      <c r="N21" s="11"/>
      <c r="O21" s="11"/>
      <c r="P21" s="11"/>
      <c r="Q21" s="11"/>
      <c r="R21" s="11"/>
      <c r="S21" s="11"/>
      <c r="T21" s="11"/>
      <c r="U21" s="11"/>
      <c r="V21" s="11"/>
      <c r="W21" s="11"/>
      <c r="X21" s="11"/>
    </row>
    <row r="22" spans="1:24" x14ac:dyDescent="0.2">
      <c r="A22" s="4"/>
      <c r="B22" s="12">
        <v>20</v>
      </c>
      <c r="C22" s="21" t="s">
        <v>95</v>
      </c>
      <c r="D22" s="13" t="s">
        <v>31</v>
      </c>
      <c r="E22" s="13" t="s">
        <v>14</v>
      </c>
      <c r="F22" s="12" t="s">
        <v>96</v>
      </c>
      <c r="G22" s="14" t="s">
        <v>97</v>
      </c>
      <c r="H22" s="40">
        <v>1.0864</v>
      </c>
      <c r="I22" s="35">
        <v>0.14000000000000001</v>
      </c>
      <c r="J22" s="23">
        <v>1.88</v>
      </c>
      <c r="K22" s="24">
        <v>1.3964000000000001</v>
      </c>
      <c r="L22" s="38" t="s">
        <v>98</v>
      </c>
      <c r="M22" s="11"/>
      <c r="N22" s="11"/>
      <c r="O22" s="11"/>
      <c r="P22" s="11"/>
      <c r="Q22" s="11"/>
      <c r="R22" s="11"/>
      <c r="S22" s="11"/>
      <c r="T22" s="11"/>
      <c r="U22" s="11"/>
      <c r="V22" s="11"/>
      <c r="W22" s="11"/>
      <c r="X22" s="11"/>
    </row>
    <row r="23" spans="1:24" x14ac:dyDescent="0.2">
      <c r="A23" s="4"/>
      <c r="B23" s="12">
        <v>21</v>
      </c>
      <c r="C23" s="29" t="s">
        <v>99</v>
      </c>
      <c r="D23" s="30" t="s">
        <v>13</v>
      </c>
      <c r="E23" s="30" t="s">
        <v>45</v>
      </c>
      <c r="F23" s="31" t="s">
        <v>100</v>
      </c>
      <c r="G23" s="32" t="s">
        <v>101</v>
      </c>
      <c r="H23" s="33">
        <v>1.06</v>
      </c>
      <c r="I23" s="43">
        <v>0.08</v>
      </c>
      <c r="J23" s="47">
        <v>2.08</v>
      </c>
      <c r="K23" s="43">
        <v>1.4172</v>
      </c>
      <c r="L23" s="27" t="s">
        <v>102</v>
      </c>
      <c r="M23" s="11"/>
      <c r="N23" s="11"/>
      <c r="O23" s="11"/>
      <c r="P23" s="11"/>
      <c r="Q23" s="11"/>
      <c r="R23" s="11"/>
      <c r="S23" s="11"/>
      <c r="T23" s="11"/>
      <c r="U23" s="11"/>
      <c r="V23" s="11"/>
      <c r="W23" s="11"/>
      <c r="X23" s="11"/>
    </row>
    <row r="24" spans="1:24" x14ac:dyDescent="0.2">
      <c r="A24" s="4"/>
      <c r="B24" s="12">
        <v>22</v>
      </c>
      <c r="C24" s="29" t="s">
        <v>103</v>
      </c>
      <c r="D24" s="30" t="s">
        <v>13</v>
      </c>
      <c r="E24" s="30" t="s">
        <v>45</v>
      </c>
      <c r="F24" s="31" t="s">
        <v>104</v>
      </c>
      <c r="G24" s="32" t="s">
        <v>101</v>
      </c>
      <c r="H24" s="33">
        <v>1.06</v>
      </c>
      <c r="I24" s="16">
        <v>0.16</v>
      </c>
      <c r="J24" s="47">
        <v>2.08</v>
      </c>
      <c r="K24" s="35">
        <v>0.78639999999999999</v>
      </c>
      <c r="L24" s="39" t="s">
        <v>105</v>
      </c>
      <c r="M24" s="11"/>
      <c r="N24" s="11"/>
      <c r="O24" s="11"/>
      <c r="P24" s="11"/>
      <c r="Q24" s="11"/>
      <c r="R24" s="11"/>
      <c r="S24" s="11"/>
      <c r="T24" s="11"/>
      <c r="U24" s="11"/>
      <c r="V24" s="11"/>
      <c r="W24" s="11"/>
      <c r="X24" s="11"/>
    </row>
    <row r="25" spans="1:24" x14ac:dyDescent="0.2">
      <c r="A25" s="4"/>
      <c r="B25" s="12">
        <v>23</v>
      </c>
      <c r="C25" s="21" t="s">
        <v>106</v>
      </c>
      <c r="D25" s="13" t="s">
        <v>53</v>
      </c>
      <c r="E25" s="13" t="s">
        <v>45</v>
      </c>
      <c r="F25" s="12" t="s">
        <v>107</v>
      </c>
      <c r="G25" s="14" t="s">
        <v>108</v>
      </c>
      <c r="H25" s="48">
        <v>1</v>
      </c>
      <c r="I25" s="16">
        <v>0.16</v>
      </c>
      <c r="J25" s="23">
        <v>2</v>
      </c>
      <c r="K25" s="18">
        <v>0.70599999999999996</v>
      </c>
      <c r="L25" s="49" t="s">
        <v>109</v>
      </c>
      <c r="M25" s="11"/>
      <c r="N25" s="11"/>
      <c r="O25" s="11"/>
      <c r="P25" s="11"/>
      <c r="Q25" s="11"/>
      <c r="R25" s="11"/>
      <c r="S25" s="11"/>
      <c r="T25" s="11"/>
      <c r="U25" s="11"/>
      <c r="V25" s="11"/>
      <c r="W25" s="11"/>
      <c r="X25" s="11"/>
    </row>
    <row r="26" spans="1:24" x14ac:dyDescent="0.2">
      <c r="A26" s="4"/>
      <c r="B26" s="12">
        <v>24</v>
      </c>
      <c r="C26" s="21" t="s">
        <v>110</v>
      </c>
      <c r="D26" s="13" t="s">
        <v>25</v>
      </c>
      <c r="E26" s="13" t="s">
        <v>111</v>
      </c>
      <c r="F26" s="12" t="s">
        <v>112</v>
      </c>
      <c r="G26" s="14" t="s">
        <v>55</v>
      </c>
      <c r="H26" s="48">
        <v>0.97360000000000002</v>
      </c>
      <c r="I26" s="35">
        <v>0.14000000000000001</v>
      </c>
      <c r="J26" s="23">
        <v>1.83</v>
      </c>
      <c r="K26" s="24">
        <f>H26/260*365</f>
        <v>1.3667846153846155</v>
      </c>
      <c r="L26" s="42" t="s">
        <v>113</v>
      </c>
      <c r="M26" s="11"/>
      <c r="N26" s="11"/>
      <c r="O26" s="11"/>
      <c r="P26" s="11"/>
      <c r="Q26" s="11"/>
      <c r="R26" s="11"/>
      <c r="S26" s="11"/>
      <c r="T26" s="11"/>
      <c r="U26" s="11"/>
      <c r="V26" s="11"/>
      <c r="W26" s="11"/>
      <c r="X26" s="11"/>
    </row>
    <row r="27" spans="1:24" x14ac:dyDescent="0.2">
      <c r="A27" s="4"/>
      <c r="B27" s="12">
        <v>25</v>
      </c>
      <c r="C27" s="21" t="s">
        <v>114</v>
      </c>
      <c r="D27" s="13" t="s">
        <v>13</v>
      </c>
      <c r="E27" s="13" t="s">
        <v>14</v>
      </c>
      <c r="F27" s="12" t="s">
        <v>115</v>
      </c>
      <c r="G27" s="14" t="s">
        <v>116</v>
      </c>
      <c r="H27" s="48">
        <v>0.96</v>
      </c>
      <c r="I27" s="16">
        <v>0.18</v>
      </c>
      <c r="J27" s="23">
        <v>1.76</v>
      </c>
      <c r="K27" s="24">
        <v>0.53990000000000005</v>
      </c>
      <c r="L27" s="50" t="s">
        <v>117</v>
      </c>
      <c r="M27" s="1"/>
      <c r="N27" s="1"/>
      <c r="O27" s="11"/>
      <c r="P27" s="11"/>
      <c r="Q27" s="11"/>
      <c r="R27" s="11"/>
      <c r="S27" s="11"/>
      <c r="T27" s="11"/>
      <c r="U27" s="11"/>
      <c r="V27" s="11"/>
      <c r="W27" s="11"/>
      <c r="X27" s="11"/>
    </row>
    <row r="28" spans="1:24" x14ac:dyDescent="0.2">
      <c r="A28" s="4"/>
      <c r="B28" s="12">
        <v>26</v>
      </c>
      <c r="C28" s="21" t="s">
        <v>118</v>
      </c>
      <c r="D28" s="13" t="s">
        <v>13</v>
      </c>
      <c r="E28" s="13" t="s">
        <v>45</v>
      </c>
      <c r="F28" s="12" t="s">
        <v>119</v>
      </c>
      <c r="G28" s="14" t="s">
        <v>120</v>
      </c>
      <c r="H28" s="48">
        <v>0.94</v>
      </c>
      <c r="I28" s="35">
        <v>0.12</v>
      </c>
      <c r="J28" s="23">
        <v>1.92</v>
      </c>
      <c r="K28" s="24">
        <f>H28/99*365</f>
        <v>3.4656565656565652</v>
      </c>
      <c r="L28" s="19" t="s">
        <v>121</v>
      </c>
      <c r="M28" s="1"/>
      <c r="N28" s="1"/>
      <c r="O28" s="11"/>
      <c r="P28" s="11"/>
      <c r="Q28" s="11"/>
      <c r="R28" s="11"/>
      <c r="S28" s="11"/>
      <c r="T28" s="11"/>
      <c r="U28" s="11"/>
      <c r="V28" s="11"/>
      <c r="W28" s="11"/>
      <c r="X28" s="11"/>
    </row>
    <row r="29" spans="1:24" x14ac:dyDescent="0.2">
      <c r="A29" s="4"/>
      <c r="B29" s="12">
        <v>27</v>
      </c>
      <c r="C29" s="29" t="s">
        <v>122</v>
      </c>
      <c r="D29" s="30" t="s">
        <v>25</v>
      </c>
      <c r="E29" s="30" t="s">
        <v>45</v>
      </c>
      <c r="F29" s="31" t="s">
        <v>123</v>
      </c>
      <c r="G29" s="51" t="s">
        <v>120</v>
      </c>
      <c r="H29" s="52">
        <v>0.94</v>
      </c>
      <c r="I29" s="35">
        <v>0.1</v>
      </c>
      <c r="J29" s="47">
        <v>1.92</v>
      </c>
      <c r="K29" s="43">
        <v>2.9834999999999998</v>
      </c>
      <c r="L29" s="27" t="s">
        <v>124</v>
      </c>
      <c r="M29" s="1"/>
      <c r="N29" s="1"/>
      <c r="O29" s="11"/>
      <c r="P29" s="11"/>
      <c r="Q29" s="11"/>
      <c r="R29" s="11"/>
      <c r="S29" s="11"/>
      <c r="T29" s="11"/>
      <c r="U29" s="11"/>
      <c r="V29" s="11"/>
      <c r="W29" s="11"/>
      <c r="X29" s="11"/>
    </row>
    <row r="30" spans="1:24" x14ac:dyDescent="0.2">
      <c r="A30" s="4"/>
      <c r="B30" s="12">
        <v>28</v>
      </c>
      <c r="C30" s="21" t="s">
        <v>125</v>
      </c>
      <c r="D30" s="13" t="s">
        <v>126</v>
      </c>
      <c r="E30" s="13" t="s">
        <v>45</v>
      </c>
      <c r="F30" s="12" t="s">
        <v>127</v>
      </c>
      <c r="G30" s="53" t="s">
        <v>120</v>
      </c>
      <c r="H30" s="48">
        <v>0.94</v>
      </c>
      <c r="I30" s="43">
        <v>0.08</v>
      </c>
      <c r="J30" s="23">
        <v>1.92</v>
      </c>
      <c r="K30" s="24">
        <f>H30/334*365</f>
        <v>1.0272455089820358</v>
      </c>
      <c r="L30" s="54" t="s">
        <v>128</v>
      </c>
      <c r="M30" s="1"/>
      <c r="N30" s="1"/>
      <c r="O30" s="11"/>
      <c r="P30" s="11"/>
      <c r="Q30" s="11"/>
      <c r="R30" s="11"/>
      <c r="S30" s="11"/>
      <c r="T30" s="11"/>
      <c r="U30" s="11"/>
      <c r="V30" s="11"/>
      <c r="W30" s="11"/>
      <c r="X30" s="11"/>
    </row>
    <row r="31" spans="1:24" x14ac:dyDescent="0.2">
      <c r="A31" s="4"/>
      <c r="B31" s="12">
        <v>29</v>
      </c>
      <c r="C31" s="29" t="s">
        <v>129</v>
      </c>
      <c r="D31" s="30" t="s">
        <v>126</v>
      </c>
      <c r="E31" s="30" t="s">
        <v>45</v>
      </c>
      <c r="F31" s="31" t="s">
        <v>130</v>
      </c>
      <c r="G31" s="51" t="s">
        <v>120</v>
      </c>
      <c r="H31" s="52">
        <v>0.94</v>
      </c>
      <c r="I31" s="35">
        <v>0.14000000000000001</v>
      </c>
      <c r="J31" s="47">
        <v>1.92</v>
      </c>
      <c r="K31" s="35">
        <v>0.6149</v>
      </c>
      <c r="L31" s="45" t="s">
        <v>131</v>
      </c>
      <c r="M31" s="1"/>
      <c r="N31" s="1"/>
      <c r="O31" s="11"/>
      <c r="P31" s="11"/>
      <c r="Q31" s="11"/>
      <c r="R31" s="11"/>
      <c r="S31" s="11"/>
      <c r="T31" s="11"/>
      <c r="U31" s="11"/>
      <c r="V31" s="11"/>
      <c r="W31" s="11"/>
      <c r="X31" s="11"/>
    </row>
    <row r="32" spans="1:24" x14ac:dyDescent="0.2">
      <c r="A32" s="4"/>
      <c r="B32" s="12">
        <v>30</v>
      </c>
      <c r="C32" s="21" t="s">
        <v>132</v>
      </c>
      <c r="D32" s="13" t="s">
        <v>25</v>
      </c>
      <c r="E32" s="13" t="s">
        <v>111</v>
      </c>
      <c r="F32" s="12" t="s">
        <v>133</v>
      </c>
      <c r="G32" s="53" t="s">
        <v>134</v>
      </c>
      <c r="H32" s="48">
        <v>0.9</v>
      </c>
      <c r="I32" s="35">
        <v>0.12</v>
      </c>
      <c r="J32" s="23">
        <v>2.0699999999999998</v>
      </c>
      <c r="K32" s="24">
        <f>H32/45*365</f>
        <v>7.3</v>
      </c>
      <c r="L32" s="54" t="s">
        <v>135</v>
      </c>
      <c r="M32" s="1"/>
      <c r="N32" s="1"/>
      <c r="O32" s="11"/>
      <c r="P32" s="11"/>
      <c r="Q32" s="11"/>
      <c r="R32" s="11"/>
      <c r="S32" s="11"/>
      <c r="T32" s="11"/>
      <c r="U32" s="11"/>
      <c r="V32" s="11"/>
      <c r="W32" s="11"/>
      <c r="X32" s="11"/>
    </row>
    <row r="33" spans="1:24" x14ac:dyDescent="0.2">
      <c r="A33" s="4"/>
      <c r="B33" s="12">
        <v>31</v>
      </c>
      <c r="C33" s="21" t="s">
        <v>136</v>
      </c>
      <c r="D33" s="13" t="s">
        <v>126</v>
      </c>
      <c r="E33" s="13" t="s">
        <v>45</v>
      </c>
      <c r="F33" s="55" t="s">
        <v>137</v>
      </c>
      <c r="G33" s="53" t="s">
        <v>138</v>
      </c>
      <c r="H33" s="48">
        <v>0.88600000000000001</v>
      </c>
      <c r="I33" s="43">
        <v>0.08</v>
      </c>
      <c r="J33" s="23">
        <v>1.85</v>
      </c>
      <c r="K33" s="18">
        <v>0.4027</v>
      </c>
      <c r="L33" s="19" t="s">
        <v>139</v>
      </c>
      <c r="M33" s="1"/>
      <c r="N33" s="1"/>
      <c r="O33" s="11"/>
      <c r="P33" s="11"/>
      <c r="Q33" s="11"/>
      <c r="R33" s="11"/>
      <c r="S33" s="11"/>
      <c r="T33" s="11"/>
      <c r="U33" s="11"/>
      <c r="V33" s="11"/>
      <c r="W33" s="11"/>
      <c r="X33" s="11"/>
    </row>
    <row r="34" spans="1:24" x14ac:dyDescent="0.2">
      <c r="A34" s="4"/>
      <c r="B34" s="12">
        <v>32</v>
      </c>
      <c r="C34" s="29" t="s">
        <v>140</v>
      </c>
      <c r="D34" s="30" t="s">
        <v>53</v>
      </c>
      <c r="E34" s="30" t="s">
        <v>45</v>
      </c>
      <c r="F34" s="56" t="s">
        <v>141</v>
      </c>
      <c r="G34" s="51" t="s">
        <v>138</v>
      </c>
      <c r="H34" s="52">
        <v>0.88</v>
      </c>
      <c r="I34" s="35">
        <v>0.12</v>
      </c>
      <c r="J34" s="47">
        <v>1.85</v>
      </c>
      <c r="K34" s="43">
        <v>24.707699999999999</v>
      </c>
      <c r="L34" s="45" t="s">
        <v>142</v>
      </c>
      <c r="M34" s="1"/>
      <c r="N34" s="1"/>
      <c r="O34" s="11"/>
      <c r="P34" s="11"/>
      <c r="Q34" s="11"/>
      <c r="R34" s="11"/>
      <c r="S34" s="11"/>
      <c r="T34" s="11"/>
      <c r="U34" s="11"/>
      <c r="V34" s="11"/>
      <c r="W34" s="11"/>
      <c r="X34" s="11"/>
    </row>
    <row r="35" spans="1:24" x14ac:dyDescent="0.2">
      <c r="A35" s="4"/>
      <c r="B35" s="12">
        <v>33</v>
      </c>
      <c r="C35" s="29" t="s">
        <v>143</v>
      </c>
      <c r="D35" s="30" t="s">
        <v>25</v>
      </c>
      <c r="E35" s="30" t="s">
        <v>45</v>
      </c>
      <c r="F35" s="56" t="s">
        <v>144</v>
      </c>
      <c r="G35" s="51" t="s">
        <v>138</v>
      </c>
      <c r="H35" s="52">
        <v>0.88</v>
      </c>
      <c r="I35" s="35">
        <v>0.1</v>
      </c>
      <c r="J35" s="47">
        <v>1.85</v>
      </c>
      <c r="K35" s="43">
        <v>6.4240000000000004</v>
      </c>
      <c r="L35" s="27" t="s">
        <v>145</v>
      </c>
      <c r="M35" s="1"/>
      <c r="N35" s="1"/>
      <c r="O35" s="11"/>
      <c r="P35" s="11"/>
      <c r="Q35" s="11"/>
      <c r="R35" s="11"/>
      <c r="S35" s="11"/>
      <c r="T35" s="11"/>
      <c r="U35" s="11"/>
      <c r="V35" s="11"/>
      <c r="W35" s="11"/>
      <c r="X35" s="11"/>
    </row>
    <row r="36" spans="1:24" x14ac:dyDescent="0.2">
      <c r="A36" s="4"/>
      <c r="B36" s="12">
        <v>34</v>
      </c>
      <c r="C36" s="29" t="s">
        <v>146</v>
      </c>
      <c r="D36" s="30" t="s">
        <v>13</v>
      </c>
      <c r="E36" s="30" t="s">
        <v>45</v>
      </c>
      <c r="F36" s="56" t="s">
        <v>147</v>
      </c>
      <c r="G36" s="51" t="s">
        <v>138</v>
      </c>
      <c r="H36" s="52">
        <v>0.88</v>
      </c>
      <c r="I36" s="16">
        <v>0.18</v>
      </c>
      <c r="J36" s="47">
        <v>1.85</v>
      </c>
      <c r="K36" s="43">
        <v>1.0165</v>
      </c>
      <c r="L36" s="39" t="s">
        <v>148</v>
      </c>
      <c r="M36" s="1"/>
      <c r="N36" s="1"/>
      <c r="O36" s="11"/>
      <c r="P36" s="11"/>
      <c r="Q36" s="11"/>
      <c r="R36" s="11"/>
      <c r="S36" s="11"/>
      <c r="T36" s="11"/>
      <c r="U36" s="11"/>
      <c r="V36" s="11"/>
      <c r="W36" s="11"/>
      <c r="X36" s="11"/>
    </row>
    <row r="37" spans="1:24" ht="12.75" x14ac:dyDescent="0.2">
      <c r="A37" s="4"/>
      <c r="B37" s="12">
        <v>35</v>
      </c>
      <c r="C37" s="29" t="s">
        <v>149</v>
      </c>
      <c r="D37" s="30" t="s">
        <v>150</v>
      </c>
      <c r="E37" s="30" t="s">
        <v>45</v>
      </c>
      <c r="F37" s="56" t="s">
        <v>151</v>
      </c>
      <c r="G37" s="51" t="s">
        <v>138</v>
      </c>
      <c r="H37" s="52">
        <v>0.88</v>
      </c>
      <c r="I37" s="16">
        <v>0.18</v>
      </c>
      <c r="J37" s="47">
        <v>1.85</v>
      </c>
      <c r="K37" s="16">
        <v>9.35E-2</v>
      </c>
      <c r="L37" s="27" t="s">
        <v>152</v>
      </c>
      <c r="M37" s="1"/>
      <c r="N37" s="1"/>
      <c r="O37" s="11"/>
      <c r="P37" s="11"/>
      <c r="Q37" s="11"/>
      <c r="R37" s="11"/>
      <c r="S37" s="11"/>
      <c r="T37" s="11"/>
      <c r="U37" s="11"/>
      <c r="V37" s="11"/>
      <c r="W37" s="11"/>
      <c r="X37" s="11"/>
    </row>
    <row r="38" spans="1:24" ht="12.75" x14ac:dyDescent="0.2">
      <c r="A38" s="4"/>
      <c r="B38" s="12">
        <v>36</v>
      </c>
      <c r="C38" s="21" t="s">
        <v>153</v>
      </c>
      <c r="D38" s="13" t="s">
        <v>25</v>
      </c>
      <c r="E38" s="13" t="s">
        <v>154</v>
      </c>
      <c r="F38" s="55" t="s">
        <v>155</v>
      </c>
      <c r="G38" s="53" t="s">
        <v>156</v>
      </c>
      <c r="H38" s="57">
        <v>0.87239999999999995</v>
      </c>
      <c r="I38" s="35">
        <v>0.13</v>
      </c>
      <c r="J38" s="58">
        <v>1.73</v>
      </c>
      <c r="K38" s="24">
        <v>5.0544000000000002</v>
      </c>
      <c r="L38" s="27" t="s">
        <v>157</v>
      </c>
      <c r="M38" s="1"/>
      <c r="N38" s="1"/>
      <c r="O38" s="11"/>
      <c r="P38" s="11"/>
      <c r="Q38" s="11"/>
      <c r="R38" s="11"/>
      <c r="S38" s="11"/>
      <c r="T38" s="11"/>
      <c r="U38" s="11"/>
      <c r="V38" s="11"/>
      <c r="W38" s="11"/>
      <c r="X38" s="11"/>
    </row>
    <row r="39" spans="1:24" ht="12.75" x14ac:dyDescent="0.2">
      <c r="A39" s="4"/>
      <c r="B39" s="12">
        <v>37</v>
      </c>
      <c r="C39" s="21" t="s">
        <v>158</v>
      </c>
      <c r="D39" s="13" t="s">
        <v>53</v>
      </c>
      <c r="E39" s="13" t="s">
        <v>45</v>
      </c>
      <c r="F39" s="55" t="s">
        <v>159</v>
      </c>
      <c r="G39" s="53" t="s">
        <v>160</v>
      </c>
      <c r="H39" s="57">
        <v>0.82</v>
      </c>
      <c r="I39" s="16">
        <v>0.16</v>
      </c>
      <c r="J39" s="23">
        <v>1.77</v>
      </c>
      <c r="K39" s="24">
        <v>29.93</v>
      </c>
      <c r="L39" s="27" t="s">
        <v>161</v>
      </c>
      <c r="M39" s="1"/>
      <c r="N39" s="1"/>
      <c r="O39" s="11"/>
      <c r="P39" s="11"/>
      <c r="Q39" s="11"/>
      <c r="R39" s="11"/>
      <c r="S39" s="11"/>
      <c r="T39" s="11"/>
      <c r="U39" s="11"/>
      <c r="V39" s="11"/>
      <c r="W39" s="11"/>
      <c r="X39" s="11"/>
    </row>
    <row r="40" spans="1:24" ht="12.75" x14ac:dyDescent="0.2">
      <c r="A40" s="4"/>
      <c r="B40" s="12">
        <v>38</v>
      </c>
      <c r="C40" s="21" t="s">
        <v>162</v>
      </c>
      <c r="D40" s="13" t="s">
        <v>150</v>
      </c>
      <c r="E40" s="13" t="s">
        <v>14</v>
      </c>
      <c r="F40" s="55" t="s">
        <v>163</v>
      </c>
      <c r="G40" s="53" t="s">
        <v>164</v>
      </c>
      <c r="H40" s="57">
        <v>0.8</v>
      </c>
      <c r="I40" s="16">
        <v>0.16</v>
      </c>
      <c r="J40" s="58">
        <v>1.62</v>
      </c>
      <c r="K40" s="41">
        <v>0.1633</v>
      </c>
      <c r="L40" s="59" t="s">
        <v>165</v>
      </c>
      <c r="M40" s="1"/>
      <c r="N40" s="1"/>
      <c r="O40" s="11"/>
      <c r="P40" s="11"/>
      <c r="Q40" s="11"/>
      <c r="R40" s="11"/>
      <c r="S40" s="11"/>
      <c r="T40" s="11"/>
      <c r="U40" s="11"/>
      <c r="V40" s="11"/>
      <c r="W40" s="11"/>
      <c r="X40" s="11"/>
    </row>
    <row r="41" spans="1:24" ht="25.5" x14ac:dyDescent="0.2">
      <c r="A41" s="4"/>
      <c r="B41" s="12">
        <v>39</v>
      </c>
      <c r="C41" s="1" t="s">
        <v>166</v>
      </c>
      <c r="D41" s="13" t="s">
        <v>167</v>
      </c>
      <c r="E41" s="13" t="s">
        <v>14</v>
      </c>
      <c r="F41" s="55" t="s">
        <v>168</v>
      </c>
      <c r="G41" s="53" t="s">
        <v>164</v>
      </c>
      <c r="H41" s="57">
        <v>0.8</v>
      </c>
      <c r="I41" s="22">
        <v>0.24</v>
      </c>
      <c r="J41" s="58">
        <v>1.62</v>
      </c>
      <c r="K41" s="41">
        <v>0.1197</v>
      </c>
      <c r="L41" s="59" t="s">
        <v>169</v>
      </c>
      <c r="M41" s="1"/>
      <c r="N41" s="1"/>
      <c r="O41" s="11"/>
      <c r="P41" s="11"/>
      <c r="Q41" s="11"/>
      <c r="R41" s="11"/>
      <c r="S41" s="11"/>
      <c r="T41" s="11"/>
      <c r="U41" s="11"/>
      <c r="V41" s="11"/>
      <c r="W41" s="11"/>
      <c r="X41" s="11"/>
    </row>
    <row r="42" spans="1:24" ht="25.5" x14ac:dyDescent="0.2">
      <c r="A42" s="4"/>
      <c r="B42" s="12">
        <v>40</v>
      </c>
      <c r="C42" s="21" t="s">
        <v>170</v>
      </c>
      <c r="D42" s="13" t="s">
        <v>13</v>
      </c>
      <c r="E42" s="13" t="s">
        <v>45</v>
      </c>
      <c r="F42" s="55" t="s">
        <v>171</v>
      </c>
      <c r="G42" s="53" t="s">
        <v>172</v>
      </c>
      <c r="H42" s="57">
        <v>0.76600000000000001</v>
      </c>
      <c r="I42" s="35">
        <v>0.14000000000000001</v>
      </c>
      <c r="J42" s="58">
        <v>1.67</v>
      </c>
      <c r="K42" s="18">
        <v>0.97760000000000002</v>
      </c>
      <c r="L42" s="59" t="s">
        <v>173</v>
      </c>
      <c r="M42" s="1"/>
      <c r="N42" s="1"/>
      <c r="O42" s="11"/>
      <c r="P42" s="11"/>
      <c r="Q42" s="11"/>
      <c r="R42" s="11"/>
      <c r="S42" s="11"/>
      <c r="T42" s="11"/>
      <c r="U42" s="11"/>
      <c r="V42" s="11"/>
      <c r="W42" s="11"/>
      <c r="X42" s="11"/>
    </row>
    <row r="43" spans="1:24" ht="12.75" x14ac:dyDescent="0.2">
      <c r="A43" s="4"/>
      <c r="B43" s="12">
        <v>41</v>
      </c>
      <c r="C43" s="29" t="s">
        <v>174</v>
      </c>
      <c r="D43" s="30" t="s">
        <v>13</v>
      </c>
      <c r="E43" s="30" t="s">
        <v>45</v>
      </c>
      <c r="F43" s="56" t="s">
        <v>175</v>
      </c>
      <c r="G43" s="51" t="s">
        <v>16</v>
      </c>
      <c r="H43" s="52">
        <v>0.76</v>
      </c>
      <c r="I43" s="16">
        <v>0.16</v>
      </c>
      <c r="J43" s="60">
        <v>1.7</v>
      </c>
      <c r="K43" s="35">
        <v>1.8616999999999999</v>
      </c>
      <c r="L43" s="61" t="s">
        <v>176</v>
      </c>
      <c r="M43" s="1"/>
      <c r="N43" s="1"/>
      <c r="O43" s="11"/>
      <c r="P43" s="11"/>
      <c r="Q43" s="11"/>
      <c r="R43" s="11"/>
      <c r="S43" s="11"/>
      <c r="T43" s="11"/>
      <c r="U43" s="11"/>
      <c r="V43" s="11"/>
      <c r="W43" s="11"/>
      <c r="X43" s="11"/>
    </row>
    <row r="44" spans="1:24" ht="25.5" x14ac:dyDescent="0.2">
      <c r="A44" s="4"/>
      <c r="B44" s="12">
        <v>42</v>
      </c>
      <c r="C44" s="29" t="s">
        <v>177</v>
      </c>
      <c r="D44" s="30" t="s">
        <v>84</v>
      </c>
      <c r="E44" s="30" t="s">
        <v>45</v>
      </c>
      <c r="F44" s="56" t="s">
        <v>178</v>
      </c>
      <c r="G44" s="51" t="s">
        <v>16</v>
      </c>
      <c r="H44" s="52">
        <v>0.76</v>
      </c>
      <c r="I44" s="16">
        <v>0.18</v>
      </c>
      <c r="J44" s="60">
        <v>1.7</v>
      </c>
      <c r="K44" s="35">
        <v>0.67490000000000006</v>
      </c>
      <c r="L44" s="61" t="s">
        <v>179</v>
      </c>
      <c r="M44" s="1"/>
      <c r="N44" s="1"/>
      <c r="O44" s="11"/>
      <c r="P44" s="11"/>
      <c r="Q44" s="11"/>
      <c r="R44" s="11"/>
      <c r="S44" s="11"/>
      <c r="T44" s="11"/>
      <c r="U44" s="11"/>
      <c r="V44" s="11"/>
      <c r="W44" s="11"/>
      <c r="X44" s="11"/>
    </row>
    <row r="45" spans="1:24" ht="12.75" x14ac:dyDescent="0.2">
      <c r="A45" s="4"/>
      <c r="B45" s="12">
        <v>43</v>
      </c>
      <c r="C45" s="29" t="s">
        <v>180</v>
      </c>
      <c r="D45" s="30" t="s">
        <v>13</v>
      </c>
      <c r="E45" s="30" t="s">
        <v>111</v>
      </c>
      <c r="F45" s="56" t="s">
        <v>181</v>
      </c>
      <c r="G45" s="51" t="s">
        <v>55</v>
      </c>
      <c r="H45" s="52">
        <v>0.75</v>
      </c>
      <c r="I45" s="16">
        <v>0.18</v>
      </c>
      <c r="J45" s="47">
        <v>1.83</v>
      </c>
      <c r="K45" s="43">
        <v>1.2113</v>
      </c>
      <c r="L45" s="39" t="s">
        <v>182</v>
      </c>
      <c r="M45" s="1"/>
      <c r="N45" s="1"/>
      <c r="O45" s="11"/>
      <c r="P45" s="11"/>
      <c r="Q45" s="11"/>
      <c r="R45" s="11"/>
      <c r="S45" s="11"/>
      <c r="T45" s="11"/>
      <c r="U45" s="11"/>
      <c r="V45" s="11"/>
      <c r="W45" s="11"/>
      <c r="X45" s="11"/>
    </row>
    <row r="46" spans="1:24" ht="12.75" x14ac:dyDescent="0.2">
      <c r="A46" s="4"/>
      <c r="B46" s="12">
        <v>44</v>
      </c>
      <c r="C46" s="21" t="s">
        <v>183</v>
      </c>
      <c r="D46" s="13" t="s">
        <v>126</v>
      </c>
      <c r="E46" s="13" t="s">
        <v>111</v>
      </c>
      <c r="F46" s="55" t="s">
        <v>184</v>
      </c>
      <c r="G46" s="53" t="s">
        <v>55</v>
      </c>
      <c r="H46" s="48">
        <v>0.75</v>
      </c>
      <c r="I46" s="35">
        <v>0.1</v>
      </c>
      <c r="J46" s="23">
        <v>1.83</v>
      </c>
      <c r="K46" s="18">
        <f>H46/486*365</f>
        <v>0.56327160493827155</v>
      </c>
      <c r="L46" s="54" t="s">
        <v>185</v>
      </c>
      <c r="M46" s="1"/>
      <c r="N46" s="1"/>
      <c r="O46" s="11"/>
      <c r="P46" s="11"/>
      <c r="Q46" s="11"/>
      <c r="R46" s="11"/>
      <c r="S46" s="11"/>
      <c r="T46" s="11"/>
      <c r="U46" s="11"/>
      <c r="V46" s="11"/>
      <c r="W46" s="11"/>
      <c r="X46" s="11"/>
    </row>
    <row r="47" spans="1:24" ht="12.75" x14ac:dyDescent="0.2">
      <c r="A47" s="4"/>
      <c r="B47" s="12">
        <v>45</v>
      </c>
      <c r="C47" s="29" t="s">
        <v>186</v>
      </c>
      <c r="D47" s="30" t="s">
        <v>126</v>
      </c>
      <c r="E47" s="30" t="s">
        <v>154</v>
      </c>
      <c r="F47" s="31" t="s">
        <v>187</v>
      </c>
      <c r="G47" s="32" t="s">
        <v>78</v>
      </c>
      <c r="H47" s="52">
        <v>0.73</v>
      </c>
      <c r="I47" s="16">
        <v>0.15</v>
      </c>
      <c r="J47" s="60">
        <v>1.6</v>
      </c>
      <c r="K47" s="35">
        <v>0.27379999999999999</v>
      </c>
      <c r="L47" s="39" t="s">
        <v>188</v>
      </c>
      <c r="M47" s="1"/>
      <c r="N47" s="1"/>
      <c r="O47" s="11"/>
      <c r="P47" s="11"/>
      <c r="Q47" s="11"/>
      <c r="R47" s="11"/>
      <c r="S47" s="11"/>
      <c r="T47" s="11"/>
      <c r="U47" s="11"/>
      <c r="V47" s="11"/>
      <c r="W47" s="11"/>
      <c r="X47" s="11"/>
    </row>
    <row r="48" spans="1:24" ht="12.75" x14ac:dyDescent="0.2">
      <c r="A48" s="4"/>
      <c r="B48" s="12">
        <v>46</v>
      </c>
      <c r="C48" s="21" t="s">
        <v>189</v>
      </c>
      <c r="D48" s="13" t="s">
        <v>25</v>
      </c>
      <c r="E48" s="13" t="s">
        <v>111</v>
      </c>
      <c r="F48" s="12" t="s">
        <v>190</v>
      </c>
      <c r="G48" s="14" t="s">
        <v>55</v>
      </c>
      <c r="H48" s="48">
        <v>0.7</v>
      </c>
      <c r="I48" s="16">
        <v>0.15</v>
      </c>
      <c r="J48" s="23">
        <v>1.76</v>
      </c>
      <c r="K48" s="24">
        <f>H48/31*365</f>
        <v>8.241935483870968</v>
      </c>
      <c r="L48" s="42" t="s">
        <v>191</v>
      </c>
      <c r="M48" s="1"/>
      <c r="N48" s="1"/>
      <c r="O48" s="11"/>
      <c r="P48" s="11"/>
      <c r="Q48" s="11"/>
      <c r="R48" s="11"/>
      <c r="S48" s="11"/>
      <c r="T48" s="11"/>
      <c r="U48" s="11"/>
      <c r="V48" s="11"/>
      <c r="W48" s="11"/>
      <c r="X48" s="11"/>
    </row>
    <row r="49" spans="1:24" ht="12.75" x14ac:dyDescent="0.2">
      <c r="A49" s="4"/>
      <c r="B49" s="12">
        <v>47</v>
      </c>
      <c r="C49" s="21" t="s">
        <v>192</v>
      </c>
      <c r="D49" s="13" t="s">
        <v>13</v>
      </c>
      <c r="E49" s="13" t="s">
        <v>45</v>
      </c>
      <c r="F49" s="12" t="s">
        <v>193</v>
      </c>
      <c r="G49" s="14" t="s">
        <v>172</v>
      </c>
      <c r="H49" s="48">
        <v>0.7</v>
      </c>
      <c r="I49" s="16">
        <v>0.16</v>
      </c>
      <c r="J49" s="58">
        <v>1.64</v>
      </c>
      <c r="K49" s="24">
        <v>4.3304999999999998</v>
      </c>
      <c r="L49" s="42" t="s">
        <v>194</v>
      </c>
      <c r="M49" s="1"/>
      <c r="N49" s="1"/>
      <c r="O49" s="11"/>
      <c r="P49" s="11"/>
      <c r="Q49" s="11"/>
      <c r="R49" s="11"/>
      <c r="S49" s="11"/>
      <c r="T49" s="11"/>
      <c r="U49" s="11"/>
      <c r="V49" s="11"/>
      <c r="W49" s="11"/>
      <c r="X49" s="11"/>
    </row>
    <row r="50" spans="1:24" ht="12.75" x14ac:dyDescent="0.2">
      <c r="A50" s="4"/>
      <c r="B50" s="12">
        <v>48</v>
      </c>
      <c r="C50" s="21" t="s">
        <v>195</v>
      </c>
      <c r="D50" s="13" t="s">
        <v>25</v>
      </c>
      <c r="E50" s="13" t="s">
        <v>111</v>
      </c>
      <c r="F50" s="12" t="s">
        <v>196</v>
      </c>
      <c r="G50" s="14" t="s">
        <v>65</v>
      </c>
      <c r="H50" s="48">
        <v>0.7</v>
      </c>
      <c r="I50" s="35">
        <v>0.12</v>
      </c>
      <c r="J50" s="23">
        <v>1.76</v>
      </c>
      <c r="K50" s="24">
        <v>3.2342</v>
      </c>
      <c r="L50" s="62" t="s">
        <v>197</v>
      </c>
      <c r="M50" s="1"/>
      <c r="N50" s="1"/>
      <c r="O50" s="11"/>
      <c r="P50" s="11"/>
      <c r="Q50" s="11"/>
      <c r="R50" s="11"/>
      <c r="S50" s="11"/>
      <c r="T50" s="11"/>
      <c r="U50" s="11"/>
      <c r="V50" s="11"/>
      <c r="W50" s="11"/>
      <c r="X50" s="11"/>
    </row>
    <row r="51" spans="1:24" ht="12.75" x14ac:dyDescent="0.2">
      <c r="A51" s="4"/>
      <c r="B51" s="12">
        <v>49</v>
      </c>
      <c r="C51" s="21" t="s">
        <v>198</v>
      </c>
      <c r="D51" s="13" t="s">
        <v>126</v>
      </c>
      <c r="E51" s="13" t="s">
        <v>111</v>
      </c>
      <c r="F51" s="12" t="s">
        <v>199</v>
      </c>
      <c r="G51" s="14" t="s">
        <v>65</v>
      </c>
      <c r="H51" s="48">
        <v>0.7</v>
      </c>
      <c r="I51" s="35">
        <v>0.11</v>
      </c>
      <c r="J51" s="23">
        <v>1.76</v>
      </c>
      <c r="K51" s="18">
        <f>H51/367*365</f>
        <v>0.69618528610354224</v>
      </c>
      <c r="L51" s="42" t="s">
        <v>200</v>
      </c>
      <c r="M51" s="1"/>
      <c r="N51" s="1"/>
      <c r="O51" s="11"/>
      <c r="P51" s="11"/>
      <c r="Q51" s="11"/>
      <c r="R51" s="11"/>
      <c r="S51" s="11"/>
      <c r="T51" s="11"/>
      <c r="U51" s="11"/>
      <c r="V51" s="11"/>
      <c r="W51" s="11"/>
      <c r="X51" s="11"/>
    </row>
    <row r="52" spans="1:24" ht="12.75" x14ac:dyDescent="0.2">
      <c r="A52" s="4"/>
      <c r="B52" s="12">
        <v>50</v>
      </c>
      <c r="C52" s="21" t="s">
        <v>201</v>
      </c>
      <c r="D52" s="13" t="s">
        <v>202</v>
      </c>
      <c r="E52" s="13" t="s">
        <v>45</v>
      </c>
      <c r="F52" s="12" t="s">
        <v>203</v>
      </c>
      <c r="G52" s="14" t="s">
        <v>172</v>
      </c>
      <c r="H52" s="48">
        <v>0.7</v>
      </c>
      <c r="I52" s="16">
        <v>0.16</v>
      </c>
      <c r="J52" s="58">
        <v>1.64</v>
      </c>
      <c r="K52" s="41">
        <v>6.4500000000000002E-2</v>
      </c>
      <c r="L52" s="46" t="s">
        <v>204</v>
      </c>
      <c r="M52" s="1"/>
      <c r="N52" s="1"/>
      <c r="O52" s="11"/>
      <c r="P52" s="11"/>
      <c r="Q52" s="11"/>
      <c r="R52" s="11"/>
      <c r="S52" s="11"/>
      <c r="T52" s="11"/>
      <c r="U52" s="11"/>
      <c r="V52" s="11"/>
      <c r="W52" s="11"/>
      <c r="X52" s="11"/>
    </row>
    <row r="53" spans="1:24" ht="12.75" x14ac:dyDescent="0.2">
      <c r="A53" s="4"/>
      <c r="B53" s="12">
        <v>51</v>
      </c>
      <c r="C53" s="21" t="s">
        <v>205</v>
      </c>
      <c r="D53" s="13" t="s">
        <v>25</v>
      </c>
      <c r="E53" s="13" t="s">
        <v>45</v>
      </c>
      <c r="F53" s="12" t="s">
        <v>206</v>
      </c>
      <c r="G53" s="14" t="s">
        <v>207</v>
      </c>
      <c r="H53" s="48">
        <v>0.63600000000000001</v>
      </c>
      <c r="I53" s="35">
        <v>8.4000000000000005E-2</v>
      </c>
      <c r="J53" s="58">
        <v>1.57</v>
      </c>
      <c r="K53" s="24">
        <v>4.2206999999999999</v>
      </c>
      <c r="L53" s="19" t="s">
        <v>208</v>
      </c>
      <c r="M53" s="1"/>
      <c r="N53" s="1"/>
      <c r="O53" s="11"/>
      <c r="P53" s="11"/>
      <c r="Q53" s="11"/>
      <c r="R53" s="11"/>
      <c r="S53" s="11"/>
      <c r="T53" s="11"/>
      <c r="U53" s="11"/>
      <c r="V53" s="11"/>
      <c r="W53" s="11"/>
      <c r="X53" s="11"/>
    </row>
    <row r="54" spans="1:24" ht="12.75" x14ac:dyDescent="0.2">
      <c r="A54" s="4"/>
      <c r="B54" s="12">
        <v>52</v>
      </c>
      <c r="C54" s="21" t="s">
        <v>209</v>
      </c>
      <c r="D54" s="13" t="s">
        <v>84</v>
      </c>
      <c r="E54" s="13" t="s">
        <v>45</v>
      </c>
      <c r="F54" s="12" t="s">
        <v>210</v>
      </c>
      <c r="G54" s="14" t="s">
        <v>33</v>
      </c>
      <c r="H54" s="48">
        <v>0.57999999999999996</v>
      </c>
      <c r="I54" s="35">
        <v>0.12</v>
      </c>
      <c r="J54" s="58">
        <v>1.51</v>
      </c>
      <c r="K54" s="24">
        <f>H54/200*365</f>
        <v>1.0585</v>
      </c>
      <c r="L54" s="42" t="s">
        <v>211</v>
      </c>
      <c r="M54" s="1"/>
      <c r="N54" s="1"/>
      <c r="O54" s="11"/>
      <c r="P54" s="11"/>
      <c r="Q54" s="11"/>
      <c r="R54" s="11"/>
      <c r="S54" s="11"/>
      <c r="T54" s="11"/>
      <c r="U54" s="11"/>
      <c r="V54" s="11"/>
      <c r="W54" s="11"/>
      <c r="X54" s="11"/>
    </row>
    <row r="55" spans="1:24" ht="12.75" x14ac:dyDescent="0.2">
      <c r="A55" s="4"/>
      <c r="B55" s="12">
        <v>53</v>
      </c>
      <c r="C55" s="29" t="s">
        <v>212</v>
      </c>
      <c r="D55" s="30" t="s">
        <v>13</v>
      </c>
      <c r="E55" s="30" t="s">
        <v>111</v>
      </c>
      <c r="F55" s="31" t="s">
        <v>213</v>
      </c>
      <c r="G55" s="51" t="s">
        <v>101</v>
      </c>
      <c r="H55" s="52">
        <v>0.55000000000000004</v>
      </c>
      <c r="I55" s="35">
        <v>0.12</v>
      </c>
      <c r="J55" s="60">
        <v>1.56</v>
      </c>
      <c r="K55" s="35">
        <v>0.39910000000000001</v>
      </c>
      <c r="L55" s="45" t="s">
        <v>214</v>
      </c>
      <c r="M55" s="1"/>
      <c r="N55" s="1"/>
      <c r="O55" s="11"/>
      <c r="P55" s="11"/>
      <c r="Q55" s="11"/>
      <c r="R55" s="11"/>
      <c r="S55" s="11"/>
      <c r="T55" s="11"/>
      <c r="U55" s="11"/>
      <c r="V55" s="11"/>
      <c r="W55" s="11"/>
      <c r="X55" s="11"/>
    </row>
    <row r="56" spans="1:24" ht="12.75" x14ac:dyDescent="0.2">
      <c r="A56" s="4"/>
      <c r="B56" s="12">
        <v>54</v>
      </c>
      <c r="C56" s="29" t="s">
        <v>215</v>
      </c>
      <c r="D56" s="30" t="s">
        <v>53</v>
      </c>
      <c r="E56" s="30" t="s">
        <v>111</v>
      </c>
      <c r="F56" s="31" t="s">
        <v>216</v>
      </c>
      <c r="G56" s="51" t="s">
        <v>108</v>
      </c>
      <c r="H56" s="52">
        <v>0.5</v>
      </c>
      <c r="I56" s="16">
        <v>0.16</v>
      </c>
      <c r="J56" s="60">
        <v>1.5</v>
      </c>
      <c r="K56" s="43">
        <v>24.333300000000001</v>
      </c>
      <c r="L56" s="39" t="s">
        <v>217</v>
      </c>
      <c r="M56" s="1"/>
      <c r="N56" s="1"/>
      <c r="O56" s="11"/>
      <c r="P56" s="11"/>
      <c r="Q56" s="11"/>
      <c r="R56" s="11"/>
      <c r="S56" s="11"/>
      <c r="T56" s="11"/>
      <c r="U56" s="11"/>
      <c r="V56" s="11"/>
      <c r="W56" s="11"/>
      <c r="X56" s="11"/>
    </row>
    <row r="57" spans="1:24" ht="12.75" x14ac:dyDescent="0.2">
      <c r="A57" s="4"/>
      <c r="B57" s="12">
        <v>55</v>
      </c>
      <c r="C57" s="21" t="s">
        <v>218</v>
      </c>
      <c r="D57" s="13" t="s">
        <v>13</v>
      </c>
      <c r="E57" s="13" t="s">
        <v>219</v>
      </c>
      <c r="F57" s="12" t="s">
        <v>220</v>
      </c>
      <c r="G57" s="53" t="s">
        <v>221</v>
      </c>
      <c r="H57" s="48">
        <v>0.48</v>
      </c>
      <c r="I57" s="35">
        <v>0.1</v>
      </c>
      <c r="J57" s="58">
        <v>1.63</v>
      </c>
      <c r="K57" s="18">
        <v>0.45860000000000001</v>
      </c>
      <c r="L57" s="63" t="s">
        <v>222</v>
      </c>
      <c r="M57" s="1"/>
      <c r="N57" s="1"/>
      <c r="O57" s="11"/>
      <c r="P57" s="11"/>
      <c r="Q57" s="11"/>
      <c r="R57" s="11"/>
      <c r="S57" s="11"/>
      <c r="T57" s="11"/>
      <c r="U57" s="11"/>
      <c r="V57" s="11"/>
      <c r="W57" s="11"/>
      <c r="X57" s="11"/>
    </row>
    <row r="58" spans="1:24" ht="12.75" x14ac:dyDescent="0.2">
      <c r="A58" s="4"/>
      <c r="B58" s="12">
        <v>56</v>
      </c>
      <c r="C58" s="29" t="s">
        <v>223</v>
      </c>
      <c r="D58" s="30" t="s">
        <v>25</v>
      </c>
      <c r="E58" s="30" t="s">
        <v>45</v>
      </c>
      <c r="F58" s="31" t="s">
        <v>224</v>
      </c>
      <c r="G58" s="51" t="s">
        <v>156</v>
      </c>
      <c r="H58" s="52">
        <v>0.46</v>
      </c>
      <c r="I58" s="35">
        <v>0.14000000000000001</v>
      </c>
      <c r="J58" s="60">
        <v>1.39</v>
      </c>
      <c r="K58" s="43">
        <v>2.3319000000000001</v>
      </c>
      <c r="L58" s="39" t="s">
        <v>225</v>
      </c>
      <c r="M58" s="1"/>
      <c r="N58" s="1"/>
      <c r="O58" s="11"/>
      <c r="P58" s="11"/>
      <c r="Q58" s="11"/>
      <c r="R58" s="11"/>
      <c r="S58" s="11"/>
      <c r="T58" s="11"/>
      <c r="U58" s="11"/>
      <c r="V58" s="11"/>
      <c r="W58" s="11"/>
      <c r="X58" s="11"/>
    </row>
    <row r="59" spans="1:24" ht="12.75" x14ac:dyDescent="0.2">
      <c r="A59" s="4"/>
      <c r="B59" s="12">
        <v>57</v>
      </c>
      <c r="C59" s="29" t="s">
        <v>226</v>
      </c>
      <c r="D59" s="30" t="s">
        <v>25</v>
      </c>
      <c r="E59" s="30" t="s">
        <v>45</v>
      </c>
      <c r="F59" s="31" t="s">
        <v>227</v>
      </c>
      <c r="G59" s="51" t="s">
        <v>156</v>
      </c>
      <c r="H59" s="52">
        <v>0.46</v>
      </c>
      <c r="I59" s="16">
        <v>0.2</v>
      </c>
      <c r="J59" s="60">
        <v>1.39</v>
      </c>
      <c r="K59" s="35">
        <v>0.77370000000000005</v>
      </c>
      <c r="L59" s="39" t="s">
        <v>228</v>
      </c>
      <c r="M59" s="1"/>
      <c r="N59" s="1"/>
      <c r="O59" s="11"/>
      <c r="P59" s="11"/>
      <c r="Q59" s="11"/>
      <c r="R59" s="11"/>
      <c r="S59" s="11"/>
      <c r="T59" s="11"/>
      <c r="U59" s="11"/>
      <c r="V59" s="11"/>
      <c r="W59" s="11"/>
      <c r="X59" s="11"/>
    </row>
    <row r="60" spans="1:24" ht="12.75" x14ac:dyDescent="0.2">
      <c r="A60" s="4"/>
      <c r="B60" s="12">
        <v>58</v>
      </c>
      <c r="C60" s="21" t="s">
        <v>229</v>
      </c>
      <c r="D60" s="13" t="s">
        <v>25</v>
      </c>
      <c r="E60" s="13" t="s">
        <v>92</v>
      </c>
      <c r="F60" s="12" t="s">
        <v>133</v>
      </c>
      <c r="G60" s="53" t="s">
        <v>16</v>
      </c>
      <c r="H60" s="48">
        <v>0.43880000000000002</v>
      </c>
      <c r="I60" s="16">
        <v>0.17660000000000001</v>
      </c>
      <c r="J60" s="58">
        <v>1.41</v>
      </c>
      <c r="K60" s="24">
        <v>3.5592000000000001</v>
      </c>
      <c r="L60" s="39" t="s">
        <v>230</v>
      </c>
      <c r="M60" s="1"/>
      <c r="N60" s="1"/>
      <c r="O60" s="11"/>
      <c r="P60" s="11"/>
      <c r="Q60" s="11"/>
      <c r="R60" s="11"/>
      <c r="S60" s="11"/>
      <c r="T60" s="11"/>
      <c r="U60" s="11"/>
      <c r="V60" s="11"/>
      <c r="W60" s="11"/>
      <c r="X60" s="11"/>
    </row>
    <row r="61" spans="1:24" ht="12.75" x14ac:dyDescent="0.2">
      <c r="A61" s="4"/>
      <c r="B61" s="12">
        <v>59</v>
      </c>
      <c r="C61" s="21" t="s">
        <v>231</v>
      </c>
      <c r="D61" s="13" t="s">
        <v>25</v>
      </c>
      <c r="E61" s="13" t="s">
        <v>232</v>
      </c>
      <c r="F61" s="12" t="s">
        <v>233</v>
      </c>
      <c r="G61" s="53" t="s">
        <v>207</v>
      </c>
      <c r="H61" s="48">
        <v>0.42480000000000001</v>
      </c>
      <c r="I61" s="16">
        <v>0.1454</v>
      </c>
      <c r="J61" s="58">
        <v>1.38</v>
      </c>
      <c r="K61" s="24">
        <v>1.3140000000000001</v>
      </c>
      <c r="L61" s="19" t="s">
        <v>234</v>
      </c>
      <c r="M61" s="1"/>
      <c r="N61" s="1"/>
      <c r="O61" s="11"/>
      <c r="P61" s="11"/>
      <c r="Q61" s="11"/>
      <c r="R61" s="11"/>
      <c r="S61" s="11"/>
      <c r="T61" s="11"/>
      <c r="U61" s="11"/>
      <c r="V61" s="11"/>
      <c r="W61" s="11"/>
      <c r="X61" s="11"/>
    </row>
    <row r="62" spans="1:24" ht="12.75" x14ac:dyDescent="0.2">
      <c r="A62" s="4"/>
      <c r="B62" s="12">
        <v>60</v>
      </c>
      <c r="C62" s="21" t="s">
        <v>235</v>
      </c>
      <c r="D62" s="13" t="s">
        <v>25</v>
      </c>
      <c r="E62" s="13" t="s">
        <v>45</v>
      </c>
      <c r="F62" s="12" t="s">
        <v>236</v>
      </c>
      <c r="G62" s="53" t="s">
        <v>78</v>
      </c>
      <c r="H62" s="48">
        <v>0.34</v>
      </c>
      <c r="I62" s="22">
        <v>0.26</v>
      </c>
      <c r="J62" s="58">
        <v>1.28</v>
      </c>
      <c r="K62" s="24">
        <v>1.0256000000000001</v>
      </c>
      <c r="L62" s="19" t="s">
        <v>237</v>
      </c>
      <c r="M62" s="1"/>
      <c r="N62" s="1"/>
      <c r="O62" s="11"/>
      <c r="P62" s="11"/>
      <c r="Q62" s="11"/>
      <c r="R62" s="11"/>
      <c r="S62" s="11"/>
      <c r="T62" s="11"/>
      <c r="U62" s="11"/>
      <c r="V62" s="11"/>
      <c r="W62" s="11"/>
      <c r="X62" s="11"/>
    </row>
    <row r="63" spans="1:24" ht="12.75" x14ac:dyDescent="0.2">
      <c r="A63" s="4"/>
      <c r="B63" s="12">
        <v>61</v>
      </c>
      <c r="C63" s="29" t="s">
        <v>238</v>
      </c>
      <c r="D63" s="30" t="s">
        <v>53</v>
      </c>
      <c r="E63" s="30" t="s">
        <v>45</v>
      </c>
      <c r="F63" s="31" t="s">
        <v>239</v>
      </c>
      <c r="G63" s="51" t="s">
        <v>97</v>
      </c>
      <c r="H63" s="52">
        <v>0.28000000000000003</v>
      </c>
      <c r="I63" s="22">
        <v>0.22</v>
      </c>
      <c r="J63" s="64">
        <v>1.23</v>
      </c>
      <c r="K63" s="43">
        <v>6.8132999999999999</v>
      </c>
      <c r="L63" s="65" t="s">
        <v>240</v>
      </c>
      <c r="M63" s="1"/>
      <c r="N63" s="1"/>
      <c r="O63" s="11"/>
      <c r="P63" s="11"/>
      <c r="Q63" s="11"/>
      <c r="R63" s="11"/>
      <c r="S63" s="11"/>
      <c r="T63" s="11"/>
      <c r="U63" s="11"/>
      <c r="V63" s="11"/>
      <c r="W63" s="11"/>
      <c r="X63" s="11"/>
    </row>
    <row r="64" spans="1:24" ht="12.75" x14ac:dyDescent="0.2">
      <c r="A64" s="4"/>
      <c r="B64" s="12">
        <v>62</v>
      </c>
      <c r="C64" s="21" t="s">
        <v>241</v>
      </c>
      <c r="D64" s="13" t="s">
        <v>13</v>
      </c>
      <c r="E64" s="13" t="s">
        <v>111</v>
      </c>
      <c r="F64" s="12" t="s">
        <v>242</v>
      </c>
      <c r="G64" s="53" t="s">
        <v>16</v>
      </c>
      <c r="H64" s="48">
        <v>0.27260000000000001</v>
      </c>
      <c r="I64" s="35">
        <v>0.1134</v>
      </c>
      <c r="J64" s="66">
        <v>1.25</v>
      </c>
      <c r="K64" s="41">
        <v>0.1158</v>
      </c>
      <c r="L64" s="65" t="s">
        <v>243</v>
      </c>
      <c r="M64" s="1"/>
      <c r="N64" s="1"/>
      <c r="O64" s="11"/>
      <c r="P64" s="11"/>
      <c r="Q64" s="11"/>
      <c r="R64" s="11"/>
      <c r="S64" s="11"/>
      <c r="T64" s="11"/>
      <c r="U64" s="11"/>
      <c r="V64" s="11"/>
      <c r="W64" s="11"/>
      <c r="X64" s="11"/>
    </row>
    <row r="65" spans="1:24" ht="12.75" x14ac:dyDescent="0.2">
      <c r="A65" s="4"/>
      <c r="B65" s="12">
        <v>63</v>
      </c>
      <c r="C65" s="29" t="s">
        <v>244</v>
      </c>
      <c r="D65" s="30" t="s">
        <v>25</v>
      </c>
      <c r="E65" s="30" t="s">
        <v>45</v>
      </c>
      <c r="F65" s="31" t="s">
        <v>245</v>
      </c>
      <c r="G65" s="51" t="s">
        <v>246</v>
      </c>
      <c r="H65" s="67">
        <v>0.18</v>
      </c>
      <c r="I65" s="22">
        <v>0.32</v>
      </c>
      <c r="J65" s="64">
        <v>1.05</v>
      </c>
      <c r="K65" s="35">
        <v>0.6028</v>
      </c>
      <c r="L65" s="45" t="s">
        <v>247</v>
      </c>
      <c r="M65" s="1"/>
      <c r="N65" s="1"/>
      <c r="O65" s="11"/>
      <c r="P65" s="11"/>
      <c r="Q65" s="11"/>
      <c r="R65" s="11"/>
      <c r="S65" s="11"/>
      <c r="T65" s="11"/>
      <c r="U65" s="11"/>
      <c r="V65" s="11"/>
      <c r="W65" s="11"/>
      <c r="X65" s="11"/>
    </row>
    <row r="66" spans="1:24" ht="12.75" x14ac:dyDescent="0.2">
      <c r="A66" s="4"/>
      <c r="B66" s="12">
        <v>64</v>
      </c>
      <c r="C66" s="29" t="s">
        <v>248</v>
      </c>
      <c r="D66" s="30" t="s">
        <v>31</v>
      </c>
      <c r="E66" s="30" t="s">
        <v>45</v>
      </c>
      <c r="F66" s="31" t="s">
        <v>249</v>
      </c>
      <c r="G66" s="51" t="s">
        <v>250</v>
      </c>
      <c r="H66" s="67">
        <v>0.16</v>
      </c>
      <c r="I66" s="16">
        <v>0.16</v>
      </c>
      <c r="J66" s="64">
        <v>1.1299999999999999</v>
      </c>
      <c r="K66" s="16">
        <v>0.24440000000000001</v>
      </c>
      <c r="L66" s="39" t="s">
        <v>251</v>
      </c>
      <c r="M66" s="1"/>
      <c r="N66" s="1"/>
      <c r="O66" s="11"/>
      <c r="P66" s="11"/>
      <c r="Q66" s="11"/>
      <c r="R66" s="11"/>
      <c r="S66" s="11"/>
      <c r="T66" s="11"/>
      <c r="U66" s="11"/>
      <c r="V66" s="11"/>
      <c r="W66" s="11"/>
      <c r="X66" s="11"/>
    </row>
    <row r="67" spans="1:24" ht="25.5" x14ac:dyDescent="0.2">
      <c r="A67" s="4"/>
      <c r="B67" s="12">
        <v>65</v>
      </c>
      <c r="C67" s="21" t="s">
        <v>252</v>
      </c>
      <c r="D67" s="13" t="s">
        <v>53</v>
      </c>
      <c r="E67" s="13" t="s">
        <v>111</v>
      </c>
      <c r="F67" s="12" t="s">
        <v>253</v>
      </c>
      <c r="G67" s="53" t="s">
        <v>73</v>
      </c>
      <c r="H67" s="68">
        <v>0</v>
      </c>
      <c r="I67" s="22">
        <v>0.33</v>
      </c>
      <c r="J67" s="66">
        <v>1</v>
      </c>
      <c r="K67" s="37">
        <v>0</v>
      </c>
      <c r="L67" s="38" t="s">
        <v>254</v>
      </c>
      <c r="M67" s="1"/>
      <c r="N67" s="1"/>
      <c r="O67" s="11"/>
      <c r="P67" s="11"/>
      <c r="Q67" s="11"/>
      <c r="R67" s="11"/>
      <c r="S67" s="11"/>
      <c r="T67" s="11"/>
      <c r="U67" s="11"/>
      <c r="V67" s="11"/>
      <c r="W67" s="11"/>
      <c r="X67" s="11"/>
    </row>
    <row r="68" spans="1:24" ht="12.75" x14ac:dyDescent="0.2">
      <c r="A68" s="4"/>
      <c r="B68" s="12">
        <v>66</v>
      </c>
      <c r="C68" s="21" t="s">
        <v>255</v>
      </c>
      <c r="D68" s="13" t="s">
        <v>13</v>
      </c>
      <c r="E68" s="13" t="s">
        <v>92</v>
      </c>
      <c r="F68" s="12" t="s">
        <v>190</v>
      </c>
      <c r="G68" s="53" t="s">
        <v>101</v>
      </c>
      <c r="H68" s="68">
        <v>5.9999999999999995E-4</v>
      </c>
      <c r="I68" s="22">
        <v>0.33100000000000002</v>
      </c>
      <c r="J68" s="66">
        <v>1</v>
      </c>
      <c r="K68" s="37">
        <f>H68/31*365</f>
        <v>7.064516129032257E-3</v>
      </c>
      <c r="L68" s="54" t="s">
        <v>256</v>
      </c>
      <c r="M68" s="1"/>
      <c r="N68" s="1"/>
      <c r="O68" s="11"/>
      <c r="P68" s="11"/>
      <c r="Q68" s="11"/>
      <c r="R68" s="11"/>
      <c r="S68" s="11"/>
      <c r="T68" s="11"/>
      <c r="U68" s="11"/>
      <c r="V68" s="11"/>
      <c r="W68" s="11"/>
      <c r="X68" s="11"/>
    </row>
    <row r="69" spans="1:24" ht="12.75" x14ac:dyDescent="0.2">
      <c r="A69" s="4"/>
      <c r="B69" s="12">
        <v>67</v>
      </c>
      <c r="C69" s="29" t="s">
        <v>257</v>
      </c>
      <c r="D69" s="30" t="s">
        <v>25</v>
      </c>
      <c r="E69" s="30" t="s">
        <v>111</v>
      </c>
      <c r="F69" s="31" t="s">
        <v>258</v>
      </c>
      <c r="G69" s="32" t="s">
        <v>116</v>
      </c>
      <c r="H69" s="69">
        <v>-0.15</v>
      </c>
      <c r="I69" s="22">
        <v>0.36</v>
      </c>
      <c r="J69" s="64">
        <v>0.88</v>
      </c>
      <c r="K69" s="22">
        <v>-2.6071</v>
      </c>
      <c r="L69" s="27" t="s">
        <v>259</v>
      </c>
      <c r="M69" s="1"/>
      <c r="N69" s="1"/>
    </row>
    <row r="70" spans="1:24" ht="12.75" x14ac:dyDescent="0.2">
      <c r="A70" s="4"/>
      <c r="B70" s="12">
        <v>68</v>
      </c>
      <c r="C70" s="21" t="s">
        <v>260</v>
      </c>
      <c r="D70" s="13" t="s">
        <v>13</v>
      </c>
      <c r="E70" s="13" t="s">
        <v>92</v>
      </c>
      <c r="F70" s="12" t="s">
        <v>261</v>
      </c>
      <c r="G70" s="14" t="s">
        <v>262</v>
      </c>
      <c r="H70" s="70">
        <v>-0.19170000000000001</v>
      </c>
      <c r="I70" s="22">
        <v>0.41820000000000002</v>
      </c>
      <c r="J70" s="66">
        <v>0.8</v>
      </c>
      <c r="K70" s="37">
        <f>H70/61*365</f>
        <v>-1.1470573770491805</v>
      </c>
      <c r="L70" s="42" t="s">
        <v>263</v>
      </c>
      <c r="M70" s="1"/>
      <c r="N70" s="1"/>
    </row>
    <row r="73" spans="1:24" ht="12.75" x14ac:dyDescent="0.2">
      <c r="A73" s="71"/>
      <c r="B73" s="72"/>
      <c r="C73" s="72"/>
      <c r="E73" s="72"/>
      <c r="G73" s="71"/>
    </row>
    <row r="74" spans="1:24" ht="12.75" x14ac:dyDescent="0.2">
      <c r="A74" s="71"/>
      <c r="B74" s="81" t="s">
        <v>264</v>
      </c>
      <c r="C74" s="79"/>
      <c r="E74" s="72"/>
      <c r="G74" s="71"/>
    </row>
    <row r="75" spans="1:24" ht="12.75" x14ac:dyDescent="0.2">
      <c r="A75" s="71"/>
      <c r="B75" s="73" t="s">
        <v>265</v>
      </c>
      <c r="C75" s="83" t="s">
        <v>266</v>
      </c>
      <c r="D75" s="79"/>
      <c r="E75" s="79"/>
      <c r="F75" s="79"/>
      <c r="G75" s="79"/>
      <c r="H75" s="79"/>
    </row>
    <row r="76" spans="1:24" ht="12.75" x14ac:dyDescent="0.2">
      <c r="A76" s="71"/>
      <c r="B76" s="73" t="s">
        <v>267</v>
      </c>
      <c r="C76" s="83" t="s">
        <v>268</v>
      </c>
      <c r="D76" s="79"/>
      <c r="E76" s="79"/>
      <c r="F76" s="79"/>
      <c r="G76" s="79"/>
      <c r="H76" s="79"/>
    </row>
    <row r="77" spans="1:24" ht="12.75" x14ac:dyDescent="0.2">
      <c r="A77" s="71"/>
      <c r="B77" s="73" t="s">
        <v>269</v>
      </c>
      <c r="C77" s="82" t="s">
        <v>270</v>
      </c>
      <c r="D77" s="79"/>
      <c r="E77" s="79"/>
      <c r="F77" s="79"/>
      <c r="G77" s="79"/>
      <c r="H77" s="79"/>
    </row>
    <row r="78" spans="1:24" ht="12.75" x14ac:dyDescent="0.2">
      <c r="A78" s="71"/>
      <c r="B78" s="73" t="s">
        <v>271</v>
      </c>
      <c r="C78" s="78" t="s">
        <v>272</v>
      </c>
      <c r="D78" s="79"/>
      <c r="E78" s="79"/>
      <c r="F78" s="79"/>
      <c r="G78" s="79"/>
      <c r="H78" s="79"/>
    </row>
    <row r="79" spans="1:24" ht="12.75" x14ac:dyDescent="0.2">
      <c r="A79" s="71"/>
      <c r="B79" s="73" t="s">
        <v>273</v>
      </c>
      <c r="C79" s="82" t="s">
        <v>274</v>
      </c>
      <c r="D79" s="79"/>
      <c r="E79" s="79"/>
      <c r="F79" s="79"/>
      <c r="G79" s="79"/>
      <c r="H79" s="79"/>
    </row>
    <row r="80" spans="1:24" ht="12.75" x14ac:dyDescent="0.2">
      <c r="A80" s="71"/>
      <c r="B80" s="73" t="s">
        <v>275</v>
      </c>
      <c r="C80" s="78" t="s">
        <v>276</v>
      </c>
      <c r="D80" s="79"/>
      <c r="E80" s="79"/>
      <c r="F80" s="79"/>
      <c r="G80" s="79"/>
      <c r="H80" s="79"/>
    </row>
    <row r="81" spans="1:8" ht="12.75" x14ac:dyDescent="0.2">
      <c r="A81" s="71"/>
      <c r="B81" s="73" t="s">
        <v>277</v>
      </c>
      <c r="C81" s="78" t="s">
        <v>278</v>
      </c>
      <c r="D81" s="79"/>
      <c r="E81" s="79"/>
      <c r="F81" s="79"/>
      <c r="G81" s="79"/>
      <c r="H81" s="79"/>
    </row>
    <row r="82" spans="1:8" ht="12.75" x14ac:dyDescent="0.2">
      <c r="A82" s="71"/>
      <c r="B82" s="74" t="s">
        <v>279</v>
      </c>
      <c r="C82" s="80" t="s">
        <v>280</v>
      </c>
      <c r="D82" s="79"/>
      <c r="E82" s="79"/>
      <c r="F82" s="79"/>
      <c r="G82" s="79"/>
      <c r="H82" s="79"/>
    </row>
    <row r="83" spans="1:8" ht="12.75" x14ac:dyDescent="0.2">
      <c r="A83" s="71"/>
      <c r="B83" s="74" t="s">
        <v>281</v>
      </c>
      <c r="C83" s="80" t="s">
        <v>282</v>
      </c>
      <c r="D83" s="79"/>
      <c r="E83" s="79"/>
      <c r="F83" s="79"/>
      <c r="G83" s="79"/>
      <c r="H83" s="79"/>
    </row>
    <row r="84" spans="1:8" ht="12.75" x14ac:dyDescent="0.2">
      <c r="A84" s="71"/>
      <c r="B84" s="72"/>
      <c r="C84" s="72"/>
      <c r="E84" s="72"/>
      <c r="G84" s="71"/>
    </row>
    <row r="85" spans="1:8" ht="12.75" x14ac:dyDescent="0.2">
      <c r="A85" s="71"/>
      <c r="B85" s="72"/>
      <c r="C85" s="72"/>
      <c r="E85" s="72"/>
      <c r="G85" s="71"/>
    </row>
    <row r="86" spans="1:8" ht="12.75" x14ac:dyDescent="0.2">
      <c r="A86" s="71"/>
      <c r="B86" s="72"/>
      <c r="C86" s="72"/>
      <c r="E86" s="72"/>
      <c r="G86" s="71"/>
    </row>
    <row r="87" spans="1:8" ht="12.75" x14ac:dyDescent="0.2">
      <c r="A87" s="71"/>
      <c r="B87" s="72"/>
      <c r="C87" s="72"/>
      <c r="E87" s="72"/>
      <c r="G87" s="71"/>
    </row>
    <row r="88" spans="1:8" ht="12.75" x14ac:dyDescent="0.2">
      <c r="A88" s="71"/>
      <c r="B88" s="72"/>
      <c r="C88" s="72"/>
      <c r="E88" s="72"/>
      <c r="G88" s="71"/>
    </row>
    <row r="89" spans="1:8" ht="12.75" x14ac:dyDescent="0.2">
      <c r="A89" s="71"/>
      <c r="B89" s="72"/>
      <c r="C89" s="72"/>
      <c r="E89" s="72"/>
      <c r="G89" s="71"/>
    </row>
    <row r="90" spans="1:8" ht="12.75" x14ac:dyDescent="0.2">
      <c r="A90" s="71"/>
      <c r="B90" s="72"/>
      <c r="C90" s="72"/>
      <c r="E90" s="72"/>
      <c r="G90" s="71"/>
    </row>
    <row r="91" spans="1:8" ht="12.75" x14ac:dyDescent="0.2">
      <c r="A91" s="71"/>
      <c r="B91" s="72"/>
      <c r="C91" s="72"/>
      <c r="E91" s="72"/>
      <c r="G91" s="71"/>
    </row>
    <row r="92" spans="1:8" ht="12.75" x14ac:dyDescent="0.2">
      <c r="A92" s="71"/>
      <c r="B92" s="72"/>
      <c r="C92" s="72"/>
      <c r="E92" s="72"/>
      <c r="G92" s="71"/>
    </row>
    <row r="93" spans="1:8" ht="12.75" x14ac:dyDescent="0.2">
      <c r="A93" s="71"/>
      <c r="B93" s="72"/>
      <c r="C93" s="72"/>
      <c r="E93" s="72"/>
      <c r="G93" s="71"/>
    </row>
    <row r="94" spans="1:8" ht="12.75" x14ac:dyDescent="0.2">
      <c r="A94" s="71"/>
      <c r="B94" s="72"/>
      <c r="C94" s="72"/>
      <c r="E94" s="72"/>
      <c r="G94" s="71"/>
    </row>
    <row r="95" spans="1:8" ht="12.75" x14ac:dyDescent="0.2">
      <c r="A95" s="71"/>
      <c r="B95" s="72"/>
      <c r="C95" s="72"/>
      <c r="E95" s="72"/>
      <c r="G95" s="71"/>
    </row>
    <row r="96" spans="1:8" ht="12.75" x14ac:dyDescent="0.2">
      <c r="A96" s="71"/>
      <c r="B96" s="72"/>
      <c r="C96" s="72"/>
      <c r="E96" s="72"/>
      <c r="G96" s="71"/>
    </row>
    <row r="97" spans="1:7" ht="12.75" x14ac:dyDescent="0.2">
      <c r="A97" s="71"/>
      <c r="B97" s="72"/>
      <c r="C97" s="72"/>
      <c r="E97" s="72"/>
      <c r="G97" s="71"/>
    </row>
    <row r="98" spans="1:7" ht="12.75" x14ac:dyDescent="0.2">
      <c r="A98" s="71"/>
      <c r="B98" s="72"/>
      <c r="C98" s="72"/>
      <c r="E98" s="72"/>
      <c r="G98" s="71"/>
    </row>
    <row r="99" spans="1:7" ht="12.75" x14ac:dyDescent="0.2">
      <c r="A99" s="71"/>
      <c r="B99" s="72"/>
      <c r="C99" s="72"/>
      <c r="E99" s="72"/>
      <c r="G99" s="71"/>
    </row>
    <row r="100" spans="1:7" ht="12.75" x14ac:dyDescent="0.2">
      <c r="A100" s="71"/>
      <c r="B100" s="72"/>
      <c r="C100" s="72"/>
      <c r="E100" s="72"/>
      <c r="G100" s="71"/>
    </row>
    <row r="101" spans="1:7" ht="12.75" x14ac:dyDescent="0.2">
      <c r="A101" s="71"/>
      <c r="B101" s="72"/>
      <c r="C101" s="72"/>
      <c r="E101" s="72"/>
      <c r="G101" s="71"/>
    </row>
    <row r="102" spans="1:7" ht="12.75" x14ac:dyDescent="0.2">
      <c r="A102" s="71"/>
      <c r="B102" s="72"/>
      <c r="C102" s="72"/>
      <c r="E102" s="72"/>
      <c r="G102" s="71"/>
    </row>
    <row r="103" spans="1:7" ht="12.75" x14ac:dyDescent="0.2">
      <c r="A103" s="71"/>
      <c r="B103" s="72"/>
      <c r="C103" s="72"/>
      <c r="E103" s="72"/>
      <c r="G103" s="71"/>
    </row>
    <row r="104" spans="1:7" ht="12.75" x14ac:dyDescent="0.2">
      <c r="A104" s="71"/>
      <c r="B104" s="72"/>
      <c r="C104" s="72"/>
      <c r="E104" s="72"/>
      <c r="G104" s="71"/>
    </row>
    <row r="105" spans="1:7" ht="12.75" x14ac:dyDescent="0.2">
      <c r="A105" s="71"/>
      <c r="B105" s="72"/>
      <c r="C105" s="72"/>
      <c r="E105" s="72"/>
      <c r="G105" s="71"/>
    </row>
    <row r="106" spans="1:7" ht="12.75" x14ac:dyDescent="0.2">
      <c r="A106" s="71"/>
      <c r="B106" s="72"/>
      <c r="C106" s="72"/>
      <c r="E106" s="72"/>
      <c r="G106" s="71"/>
    </row>
    <row r="107" spans="1:7" ht="12.75" x14ac:dyDescent="0.2">
      <c r="A107" s="71"/>
      <c r="B107" s="72"/>
      <c r="C107" s="72"/>
      <c r="E107" s="72"/>
      <c r="G107" s="71"/>
    </row>
    <row r="108" spans="1:7" ht="12.75" x14ac:dyDescent="0.2">
      <c r="A108" s="71"/>
      <c r="B108" s="72"/>
      <c r="C108" s="72"/>
      <c r="E108" s="72"/>
      <c r="G108" s="71"/>
    </row>
    <row r="109" spans="1:7" ht="12.75" x14ac:dyDescent="0.2">
      <c r="A109" s="71"/>
      <c r="B109" s="72"/>
      <c r="C109" s="72"/>
      <c r="E109" s="72"/>
      <c r="G109" s="71"/>
    </row>
    <row r="110" spans="1:7" ht="12.75" x14ac:dyDescent="0.2">
      <c r="A110" s="71"/>
      <c r="B110" s="72"/>
      <c r="C110" s="72"/>
      <c r="E110" s="72"/>
      <c r="G110" s="71"/>
    </row>
    <row r="111" spans="1:7" ht="12.75" x14ac:dyDescent="0.2">
      <c r="A111" s="71"/>
      <c r="B111" s="72"/>
      <c r="C111" s="72"/>
      <c r="E111" s="72"/>
      <c r="G111" s="71"/>
    </row>
    <row r="112" spans="1:7" ht="12.75" x14ac:dyDescent="0.2">
      <c r="A112" s="71"/>
      <c r="B112" s="72"/>
      <c r="C112" s="72"/>
      <c r="E112" s="72"/>
      <c r="G112" s="71"/>
    </row>
    <row r="113" spans="1:7" ht="12.75" x14ac:dyDescent="0.2">
      <c r="A113" s="71"/>
      <c r="B113" s="72"/>
      <c r="C113" s="72"/>
      <c r="E113" s="72"/>
      <c r="G113" s="71"/>
    </row>
    <row r="114" spans="1:7" ht="12.75" x14ac:dyDescent="0.2">
      <c r="A114" s="71"/>
      <c r="B114" s="72"/>
      <c r="C114" s="72"/>
      <c r="E114" s="72"/>
      <c r="G114" s="71"/>
    </row>
    <row r="115" spans="1:7" ht="12.75" x14ac:dyDescent="0.2">
      <c r="A115" s="71"/>
      <c r="B115" s="72"/>
      <c r="C115" s="72"/>
      <c r="E115" s="72"/>
      <c r="G115" s="71"/>
    </row>
    <row r="116" spans="1:7" ht="12.75" x14ac:dyDescent="0.2">
      <c r="A116" s="71"/>
      <c r="B116" s="72"/>
      <c r="C116" s="72"/>
      <c r="E116" s="72"/>
      <c r="G116" s="71"/>
    </row>
    <row r="117" spans="1:7" ht="12.75" x14ac:dyDescent="0.2">
      <c r="A117" s="71"/>
      <c r="B117" s="72"/>
      <c r="C117" s="72"/>
      <c r="E117" s="72"/>
      <c r="G117" s="71"/>
    </row>
    <row r="118" spans="1:7" ht="12.75" x14ac:dyDescent="0.2">
      <c r="A118" s="71"/>
      <c r="B118" s="72"/>
      <c r="C118" s="72"/>
      <c r="E118" s="72"/>
      <c r="G118" s="71"/>
    </row>
    <row r="119" spans="1:7" ht="12.75" x14ac:dyDescent="0.2">
      <c r="A119" s="71"/>
      <c r="B119" s="72"/>
      <c r="C119" s="72"/>
      <c r="E119" s="72"/>
      <c r="G119" s="71"/>
    </row>
    <row r="120" spans="1:7" ht="12.75" x14ac:dyDescent="0.2">
      <c r="A120" s="71"/>
      <c r="B120" s="72"/>
      <c r="C120" s="72"/>
      <c r="E120" s="72"/>
      <c r="G120" s="71"/>
    </row>
    <row r="121" spans="1:7" ht="12.75" x14ac:dyDescent="0.2">
      <c r="A121" s="71"/>
      <c r="B121" s="72"/>
      <c r="C121" s="72"/>
      <c r="E121" s="72"/>
      <c r="G121" s="71"/>
    </row>
    <row r="122" spans="1:7" ht="12.75" x14ac:dyDescent="0.2">
      <c r="A122" s="71"/>
      <c r="B122" s="72"/>
      <c r="C122" s="72"/>
      <c r="E122" s="72"/>
      <c r="G122" s="71"/>
    </row>
    <row r="123" spans="1:7" ht="12.75" x14ac:dyDescent="0.2">
      <c r="A123" s="71"/>
      <c r="B123" s="72"/>
      <c r="C123" s="72"/>
      <c r="E123" s="72"/>
      <c r="G123" s="71"/>
    </row>
    <row r="124" spans="1:7" ht="12.75" x14ac:dyDescent="0.2">
      <c r="A124" s="71"/>
      <c r="B124" s="72"/>
      <c r="C124" s="72"/>
      <c r="E124" s="72"/>
      <c r="G124" s="71"/>
    </row>
    <row r="125" spans="1:7" ht="12.75" x14ac:dyDescent="0.2">
      <c r="A125" s="71"/>
      <c r="B125" s="72"/>
      <c r="C125" s="72"/>
      <c r="E125" s="72"/>
      <c r="G125" s="71"/>
    </row>
    <row r="126" spans="1:7" ht="12.75" x14ac:dyDescent="0.2">
      <c r="A126" s="71"/>
      <c r="B126" s="72"/>
      <c r="C126" s="72"/>
      <c r="E126" s="72"/>
      <c r="G126" s="71"/>
    </row>
    <row r="127" spans="1:7" ht="12.75" x14ac:dyDescent="0.2">
      <c r="A127" s="71"/>
      <c r="B127" s="72"/>
      <c r="C127" s="72"/>
      <c r="E127" s="72"/>
      <c r="G127" s="71"/>
    </row>
    <row r="128" spans="1:7" ht="12.75" x14ac:dyDescent="0.2">
      <c r="A128" s="71"/>
      <c r="B128" s="72"/>
      <c r="C128" s="72"/>
      <c r="E128" s="72"/>
      <c r="G128" s="71"/>
    </row>
    <row r="129" spans="1:7" ht="12.75" x14ac:dyDescent="0.2">
      <c r="A129" s="71"/>
      <c r="B129" s="72"/>
      <c r="C129" s="72"/>
      <c r="E129" s="72"/>
      <c r="G129" s="71"/>
    </row>
    <row r="130" spans="1:7" ht="12.75" x14ac:dyDescent="0.2">
      <c r="A130" s="71"/>
      <c r="B130" s="72"/>
      <c r="C130" s="72"/>
      <c r="E130" s="72"/>
      <c r="G130" s="71"/>
    </row>
    <row r="131" spans="1:7" ht="12.75" x14ac:dyDescent="0.2">
      <c r="A131" s="71"/>
      <c r="B131" s="72"/>
      <c r="C131" s="72"/>
      <c r="E131" s="72"/>
      <c r="G131" s="71"/>
    </row>
    <row r="132" spans="1:7" ht="12.75" x14ac:dyDescent="0.2">
      <c r="A132" s="71"/>
      <c r="B132" s="72"/>
      <c r="C132" s="72"/>
      <c r="E132" s="72"/>
      <c r="G132" s="71"/>
    </row>
    <row r="133" spans="1:7" ht="12.75" x14ac:dyDescent="0.2">
      <c r="A133" s="71"/>
      <c r="B133" s="72"/>
      <c r="C133" s="72"/>
      <c r="E133" s="72"/>
      <c r="G133" s="71"/>
    </row>
    <row r="134" spans="1:7" ht="12.75" x14ac:dyDescent="0.2">
      <c r="A134" s="71"/>
      <c r="B134" s="72"/>
      <c r="C134" s="72"/>
      <c r="E134" s="72"/>
      <c r="G134" s="71"/>
    </row>
    <row r="135" spans="1:7" ht="12.75" x14ac:dyDescent="0.2">
      <c r="A135" s="71"/>
      <c r="B135" s="72"/>
      <c r="C135" s="72"/>
      <c r="E135" s="72"/>
      <c r="G135" s="71"/>
    </row>
    <row r="136" spans="1:7" ht="12.75" x14ac:dyDescent="0.2">
      <c r="A136" s="71"/>
      <c r="B136" s="72"/>
      <c r="C136" s="72"/>
      <c r="E136" s="72"/>
      <c r="G136" s="71"/>
    </row>
    <row r="137" spans="1:7" ht="12.75" x14ac:dyDescent="0.2">
      <c r="A137" s="71"/>
      <c r="B137" s="72"/>
      <c r="C137" s="72"/>
      <c r="E137" s="72"/>
      <c r="G137" s="71"/>
    </row>
    <row r="138" spans="1:7" ht="12.75" x14ac:dyDescent="0.2">
      <c r="A138" s="71"/>
      <c r="B138" s="72"/>
      <c r="C138" s="72"/>
      <c r="E138" s="72"/>
      <c r="G138" s="71"/>
    </row>
    <row r="139" spans="1:7" ht="12.75" x14ac:dyDescent="0.2">
      <c r="A139" s="71"/>
      <c r="B139" s="72"/>
      <c r="C139" s="72"/>
      <c r="E139" s="72"/>
      <c r="G139" s="71"/>
    </row>
    <row r="140" spans="1:7" ht="12.75" x14ac:dyDescent="0.2">
      <c r="A140" s="71"/>
      <c r="B140" s="72"/>
      <c r="C140" s="72"/>
      <c r="E140" s="72"/>
      <c r="G140" s="71"/>
    </row>
    <row r="141" spans="1:7" ht="12.75" x14ac:dyDescent="0.2">
      <c r="A141" s="71"/>
      <c r="B141" s="72"/>
      <c r="C141" s="72"/>
      <c r="E141" s="72"/>
      <c r="G141" s="71"/>
    </row>
    <row r="142" spans="1:7" ht="12.75" x14ac:dyDescent="0.2">
      <c r="A142" s="71"/>
      <c r="B142" s="72"/>
      <c r="C142" s="72"/>
      <c r="E142" s="72"/>
      <c r="G142" s="71"/>
    </row>
    <row r="143" spans="1:7" ht="12.75" x14ac:dyDescent="0.2">
      <c r="A143" s="71"/>
      <c r="B143" s="72"/>
      <c r="C143" s="72"/>
      <c r="E143" s="72"/>
      <c r="G143" s="71"/>
    </row>
    <row r="144" spans="1:7" ht="12.75" x14ac:dyDescent="0.2">
      <c r="A144" s="71"/>
      <c r="B144" s="72"/>
      <c r="C144" s="72"/>
      <c r="E144" s="72"/>
      <c r="G144" s="71"/>
    </row>
    <row r="145" spans="1:7" ht="12.75" x14ac:dyDescent="0.2">
      <c r="A145" s="71"/>
      <c r="B145" s="72"/>
      <c r="C145" s="72"/>
      <c r="E145" s="72"/>
      <c r="G145" s="71"/>
    </row>
    <row r="146" spans="1:7" ht="12.75" x14ac:dyDescent="0.2">
      <c r="A146" s="71"/>
      <c r="B146" s="72"/>
      <c r="C146" s="72"/>
      <c r="E146" s="72"/>
      <c r="G146" s="71"/>
    </row>
    <row r="147" spans="1:7" ht="12.75" x14ac:dyDescent="0.2">
      <c r="A147" s="71"/>
      <c r="B147" s="72"/>
      <c r="C147" s="72"/>
      <c r="E147" s="72"/>
      <c r="G147" s="71"/>
    </row>
    <row r="148" spans="1:7" ht="12.75" x14ac:dyDescent="0.2">
      <c r="A148" s="71"/>
      <c r="B148" s="72"/>
      <c r="C148" s="72"/>
      <c r="E148" s="72"/>
      <c r="G148" s="71"/>
    </row>
    <row r="149" spans="1:7" ht="12.75" x14ac:dyDescent="0.2">
      <c r="A149" s="71"/>
      <c r="B149" s="72"/>
      <c r="C149" s="72"/>
      <c r="E149" s="72"/>
      <c r="G149" s="71"/>
    </row>
    <row r="150" spans="1:7" ht="12.75" x14ac:dyDescent="0.2">
      <c r="A150" s="71"/>
      <c r="B150" s="72"/>
      <c r="C150" s="72"/>
      <c r="E150" s="72"/>
      <c r="G150" s="71"/>
    </row>
    <row r="151" spans="1:7" ht="12.75" x14ac:dyDescent="0.2">
      <c r="A151" s="71"/>
      <c r="B151" s="72"/>
      <c r="C151" s="72"/>
      <c r="E151" s="72"/>
      <c r="G151" s="71"/>
    </row>
    <row r="152" spans="1:7" ht="12.75" x14ac:dyDescent="0.2">
      <c r="A152" s="71"/>
      <c r="B152" s="72"/>
      <c r="C152" s="72"/>
      <c r="E152" s="72"/>
      <c r="G152" s="71"/>
    </row>
    <row r="153" spans="1:7" ht="12.75" x14ac:dyDescent="0.2">
      <c r="A153" s="71"/>
      <c r="B153" s="72"/>
      <c r="C153" s="72"/>
      <c r="E153" s="72"/>
      <c r="G153" s="71"/>
    </row>
    <row r="154" spans="1:7" ht="12.75" x14ac:dyDescent="0.2">
      <c r="A154" s="71"/>
      <c r="B154" s="72"/>
      <c r="C154" s="72"/>
      <c r="E154" s="72"/>
      <c r="G154" s="71"/>
    </row>
    <row r="155" spans="1:7" ht="12.75" x14ac:dyDescent="0.2">
      <c r="A155" s="71"/>
      <c r="B155" s="72"/>
      <c r="C155" s="72"/>
      <c r="E155" s="72"/>
      <c r="G155" s="71"/>
    </row>
    <row r="156" spans="1:7" ht="12.75" x14ac:dyDescent="0.2">
      <c r="A156" s="71"/>
      <c r="B156" s="72"/>
      <c r="C156" s="72"/>
      <c r="E156" s="72"/>
      <c r="G156" s="71"/>
    </row>
    <row r="157" spans="1:7" ht="12.75" x14ac:dyDescent="0.2">
      <c r="A157" s="71"/>
      <c r="B157" s="72"/>
      <c r="C157" s="72"/>
      <c r="E157" s="72"/>
      <c r="G157" s="71"/>
    </row>
    <row r="158" spans="1:7" ht="12.75" x14ac:dyDescent="0.2">
      <c r="A158" s="71"/>
      <c r="B158" s="72"/>
      <c r="C158" s="72"/>
      <c r="E158" s="72"/>
      <c r="G158" s="71"/>
    </row>
    <row r="159" spans="1:7" ht="12.75" x14ac:dyDescent="0.2">
      <c r="A159" s="71"/>
      <c r="B159" s="72"/>
      <c r="C159" s="72"/>
      <c r="E159" s="72"/>
      <c r="G159" s="71"/>
    </row>
    <row r="160" spans="1:7" ht="12.75" x14ac:dyDescent="0.2">
      <c r="A160" s="71"/>
      <c r="B160" s="72"/>
      <c r="C160" s="72"/>
      <c r="E160" s="72"/>
      <c r="G160" s="71"/>
    </row>
    <row r="161" spans="1:7" ht="12.75" x14ac:dyDescent="0.2">
      <c r="A161" s="71"/>
      <c r="B161" s="72"/>
      <c r="C161" s="72"/>
      <c r="E161" s="72"/>
      <c r="G161" s="71"/>
    </row>
    <row r="162" spans="1:7" ht="12.75" x14ac:dyDescent="0.2">
      <c r="A162" s="71"/>
      <c r="B162" s="72"/>
      <c r="C162" s="72"/>
      <c r="E162" s="72"/>
      <c r="G162" s="71"/>
    </row>
    <row r="163" spans="1:7" ht="12.75" x14ac:dyDescent="0.2">
      <c r="A163" s="71"/>
      <c r="B163" s="72"/>
      <c r="C163" s="72"/>
      <c r="E163" s="72"/>
      <c r="G163" s="71"/>
    </row>
    <row r="164" spans="1:7" ht="12.75" x14ac:dyDescent="0.2">
      <c r="A164" s="71"/>
      <c r="B164" s="72"/>
      <c r="C164" s="72"/>
      <c r="E164" s="72"/>
      <c r="G164" s="71"/>
    </row>
    <row r="165" spans="1:7" ht="12.75" x14ac:dyDescent="0.2">
      <c r="A165" s="71"/>
      <c r="B165" s="72"/>
      <c r="C165" s="72"/>
      <c r="E165" s="72"/>
      <c r="G165" s="71"/>
    </row>
    <row r="166" spans="1:7" ht="12.75" x14ac:dyDescent="0.2">
      <c r="A166" s="71"/>
      <c r="B166" s="72"/>
      <c r="C166" s="72"/>
      <c r="E166" s="72"/>
      <c r="G166" s="71"/>
    </row>
    <row r="167" spans="1:7" ht="12.75" x14ac:dyDescent="0.2">
      <c r="A167" s="71"/>
      <c r="B167" s="72"/>
      <c r="C167" s="72"/>
      <c r="E167" s="72"/>
      <c r="G167" s="71"/>
    </row>
    <row r="168" spans="1:7" ht="12.75" x14ac:dyDescent="0.2">
      <c r="A168" s="71"/>
      <c r="B168" s="72"/>
      <c r="C168" s="72"/>
      <c r="E168" s="72"/>
      <c r="G168" s="71"/>
    </row>
    <row r="169" spans="1:7" ht="12.75" x14ac:dyDescent="0.2">
      <c r="A169" s="71"/>
      <c r="B169" s="72"/>
      <c r="C169" s="72"/>
      <c r="E169" s="72"/>
      <c r="G169" s="71"/>
    </row>
    <row r="170" spans="1:7" ht="12.75" x14ac:dyDescent="0.2">
      <c r="A170" s="71"/>
      <c r="B170" s="72"/>
      <c r="C170" s="72"/>
      <c r="E170" s="72"/>
      <c r="G170" s="71"/>
    </row>
    <row r="171" spans="1:7" ht="12.75" x14ac:dyDescent="0.2">
      <c r="A171" s="71"/>
      <c r="B171" s="72"/>
      <c r="C171" s="72"/>
      <c r="E171" s="72"/>
      <c r="G171" s="71"/>
    </row>
    <row r="172" spans="1:7" ht="12.75" x14ac:dyDescent="0.2">
      <c r="A172" s="71"/>
      <c r="B172" s="72"/>
      <c r="C172" s="72"/>
      <c r="E172" s="72"/>
      <c r="G172" s="71"/>
    </row>
    <row r="173" spans="1:7" ht="12.75" x14ac:dyDescent="0.2">
      <c r="A173" s="71"/>
      <c r="B173" s="72"/>
      <c r="C173" s="72"/>
      <c r="E173" s="72"/>
      <c r="G173" s="71"/>
    </row>
    <row r="174" spans="1:7" ht="12.75" x14ac:dyDescent="0.2">
      <c r="A174" s="71"/>
      <c r="B174" s="72"/>
      <c r="C174" s="72"/>
      <c r="E174" s="72"/>
      <c r="G174" s="71"/>
    </row>
    <row r="175" spans="1:7" ht="12.75" x14ac:dyDescent="0.2">
      <c r="A175" s="71"/>
      <c r="B175" s="72"/>
      <c r="C175" s="72"/>
      <c r="E175" s="72"/>
      <c r="G175" s="71"/>
    </row>
    <row r="176" spans="1:7" ht="12.75" x14ac:dyDescent="0.2">
      <c r="A176" s="71"/>
      <c r="B176" s="72"/>
      <c r="C176" s="72"/>
      <c r="E176" s="72"/>
      <c r="G176" s="71"/>
    </row>
    <row r="177" spans="1:7" ht="12.75" x14ac:dyDescent="0.2">
      <c r="A177" s="71"/>
      <c r="B177" s="72"/>
      <c r="C177" s="72"/>
      <c r="E177" s="72"/>
      <c r="G177" s="71"/>
    </row>
    <row r="178" spans="1:7" ht="12.75" x14ac:dyDescent="0.2">
      <c r="A178" s="71"/>
      <c r="B178" s="72"/>
      <c r="C178" s="72"/>
      <c r="E178" s="72"/>
      <c r="G178" s="71"/>
    </row>
    <row r="179" spans="1:7" ht="12.75" x14ac:dyDescent="0.2">
      <c r="A179" s="71"/>
      <c r="B179" s="72"/>
      <c r="C179" s="72"/>
      <c r="E179" s="72"/>
      <c r="G179" s="71"/>
    </row>
    <row r="180" spans="1:7" ht="12.75" x14ac:dyDescent="0.2">
      <c r="A180" s="71"/>
      <c r="B180" s="72"/>
      <c r="C180" s="72"/>
      <c r="E180" s="72"/>
      <c r="G180" s="71"/>
    </row>
    <row r="181" spans="1:7" ht="12.75" x14ac:dyDescent="0.2">
      <c r="A181" s="71"/>
      <c r="B181" s="72"/>
      <c r="C181" s="72"/>
      <c r="E181" s="72"/>
      <c r="G181" s="71"/>
    </row>
    <row r="182" spans="1:7" ht="12.75" x14ac:dyDescent="0.2">
      <c r="A182" s="71"/>
      <c r="B182" s="72"/>
      <c r="C182" s="72"/>
      <c r="E182" s="72"/>
      <c r="G182" s="71"/>
    </row>
    <row r="183" spans="1:7" ht="12.75" x14ac:dyDescent="0.2">
      <c r="A183" s="71"/>
      <c r="B183" s="72"/>
      <c r="C183" s="72"/>
      <c r="E183" s="72"/>
      <c r="G183" s="71"/>
    </row>
    <row r="184" spans="1:7" ht="12.75" x14ac:dyDescent="0.2">
      <c r="A184" s="71"/>
      <c r="B184" s="72"/>
      <c r="C184" s="72"/>
      <c r="E184" s="72"/>
      <c r="G184" s="71"/>
    </row>
    <row r="185" spans="1:7" ht="12.75" x14ac:dyDescent="0.2">
      <c r="A185" s="71"/>
      <c r="B185" s="72"/>
      <c r="C185" s="72"/>
      <c r="E185" s="72"/>
      <c r="G185" s="71"/>
    </row>
    <row r="186" spans="1:7" ht="12.75" x14ac:dyDescent="0.2">
      <c r="A186" s="71"/>
      <c r="B186" s="72"/>
      <c r="C186" s="72"/>
      <c r="E186" s="72"/>
      <c r="G186" s="71"/>
    </row>
    <row r="187" spans="1:7" ht="12.75" x14ac:dyDescent="0.2">
      <c r="A187" s="71"/>
      <c r="B187" s="72"/>
      <c r="C187" s="72"/>
      <c r="E187" s="72"/>
      <c r="G187" s="71"/>
    </row>
    <row r="188" spans="1:7" ht="12.75" x14ac:dyDescent="0.2">
      <c r="A188" s="71"/>
      <c r="B188" s="72"/>
      <c r="C188" s="72"/>
      <c r="E188" s="72"/>
      <c r="G188" s="71"/>
    </row>
    <row r="189" spans="1:7" ht="12.75" x14ac:dyDescent="0.2">
      <c r="A189" s="71"/>
      <c r="B189" s="72"/>
      <c r="C189" s="72"/>
      <c r="E189" s="72"/>
      <c r="G189" s="71"/>
    </row>
    <row r="190" spans="1:7" ht="12.75" x14ac:dyDescent="0.2">
      <c r="A190" s="71"/>
      <c r="B190" s="72"/>
      <c r="C190" s="72"/>
      <c r="E190" s="72"/>
      <c r="G190" s="71"/>
    </row>
    <row r="191" spans="1:7" ht="12.75" x14ac:dyDescent="0.2">
      <c r="A191" s="71"/>
      <c r="B191" s="72"/>
      <c r="C191" s="72"/>
      <c r="E191" s="72"/>
      <c r="G191" s="71"/>
    </row>
    <row r="192" spans="1:7" ht="12.75" x14ac:dyDescent="0.2">
      <c r="A192" s="71"/>
      <c r="B192" s="72"/>
      <c r="C192" s="72"/>
      <c r="E192" s="72"/>
      <c r="G192" s="71"/>
    </row>
    <row r="193" spans="1:7" ht="12.75" x14ac:dyDescent="0.2">
      <c r="A193" s="71"/>
      <c r="B193" s="72"/>
      <c r="C193" s="72"/>
      <c r="E193" s="72"/>
      <c r="G193" s="71"/>
    </row>
    <row r="194" spans="1:7" ht="12.75" x14ac:dyDescent="0.2">
      <c r="A194" s="71"/>
      <c r="B194" s="72"/>
      <c r="C194" s="72"/>
      <c r="E194" s="72"/>
      <c r="G194" s="71"/>
    </row>
    <row r="195" spans="1:7" ht="12.75" x14ac:dyDescent="0.2">
      <c r="A195" s="71"/>
      <c r="B195" s="72"/>
      <c r="C195" s="72"/>
      <c r="E195" s="72"/>
      <c r="G195" s="71"/>
    </row>
    <row r="196" spans="1:7" ht="12.75" x14ac:dyDescent="0.2">
      <c r="A196" s="71"/>
      <c r="B196" s="72"/>
      <c r="C196" s="72"/>
      <c r="E196" s="72"/>
      <c r="G196" s="71"/>
    </row>
    <row r="197" spans="1:7" ht="12.75" x14ac:dyDescent="0.2">
      <c r="A197" s="71"/>
      <c r="B197" s="72"/>
      <c r="C197" s="72"/>
      <c r="E197" s="72"/>
      <c r="G197" s="71"/>
    </row>
    <row r="198" spans="1:7" ht="12.75" x14ac:dyDescent="0.2">
      <c r="A198" s="71"/>
      <c r="B198" s="72"/>
      <c r="C198" s="72"/>
      <c r="E198" s="72"/>
      <c r="G198" s="71"/>
    </row>
    <row r="199" spans="1:7" ht="12.75" x14ac:dyDescent="0.2">
      <c r="A199" s="71"/>
      <c r="B199" s="72"/>
      <c r="C199" s="72"/>
      <c r="E199" s="72"/>
      <c r="G199" s="71"/>
    </row>
    <row r="200" spans="1:7" ht="12.75" x14ac:dyDescent="0.2">
      <c r="A200" s="71"/>
      <c r="B200" s="72"/>
      <c r="C200" s="72"/>
      <c r="E200" s="72"/>
      <c r="G200" s="71"/>
    </row>
    <row r="201" spans="1:7" ht="12.75" x14ac:dyDescent="0.2">
      <c r="A201" s="71"/>
      <c r="B201" s="72"/>
      <c r="C201" s="72"/>
      <c r="E201" s="72"/>
      <c r="G201" s="71"/>
    </row>
    <row r="202" spans="1:7" ht="12.75" x14ac:dyDescent="0.2">
      <c r="A202" s="71"/>
      <c r="B202" s="72"/>
      <c r="C202" s="72"/>
      <c r="E202" s="72"/>
      <c r="G202" s="71"/>
    </row>
    <row r="203" spans="1:7" ht="12.75" x14ac:dyDescent="0.2">
      <c r="A203" s="71"/>
      <c r="B203" s="72"/>
      <c r="C203" s="72"/>
      <c r="E203" s="72"/>
      <c r="G203" s="71"/>
    </row>
    <row r="204" spans="1:7" ht="12.75" x14ac:dyDescent="0.2">
      <c r="A204" s="71"/>
      <c r="B204" s="72"/>
      <c r="C204" s="72"/>
      <c r="E204" s="72"/>
      <c r="G204" s="71"/>
    </row>
    <row r="205" spans="1:7" ht="12.75" x14ac:dyDescent="0.2">
      <c r="A205" s="71"/>
      <c r="B205" s="72"/>
      <c r="C205" s="72"/>
      <c r="E205" s="72"/>
      <c r="G205" s="71"/>
    </row>
    <row r="206" spans="1:7" ht="12.75" x14ac:dyDescent="0.2">
      <c r="A206" s="71"/>
      <c r="B206" s="72"/>
      <c r="C206" s="72"/>
      <c r="E206" s="72"/>
      <c r="G206" s="71"/>
    </row>
    <row r="207" spans="1:7" ht="12.75" x14ac:dyDescent="0.2">
      <c r="A207" s="71"/>
      <c r="B207" s="72"/>
      <c r="C207" s="72"/>
      <c r="E207" s="72"/>
      <c r="G207" s="71"/>
    </row>
    <row r="208" spans="1:7" ht="12.75" x14ac:dyDescent="0.2">
      <c r="A208" s="71"/>
      <c r="B208" s="72"/>
      <c r="C208" s="72"/>
      <c r="E208" s="72"/>
      <c r="G208" s="71"/>
    </row>
    <row r="209" spans="1:7" ht="12.75" x14ac:dyDescent="0.2">
      <c r="A209" s="71"/>
      <c r="B209" s="72"/>
      <c r="C209" s="72"/>
      <c r="E209" s="72"/>
      <c r="G209" s="71"/>
    </row>
    <row r="210" spans="1:7" ht="12.75" x14ac:dyDescent="0.2">
      <c r="A210" s="71"/>
      <c r="B210" s="72"/>
      <c r="C210" s="72"/>
      <c r="E210" s="72"/>
      <c r="G210" s="71"/>
    </row>
    <row r="211" spans="1:7" ht="12.75" x14ac:dyDescent="0.2">
      <c r="A211" s="71"/>
      <c r="B211" s="72"/>
      <c r="C211" s="72"/>
      <c r="E211" s="72"/>
      <c r="G211" s="71"/>
    </row>
    <row r="212" spans="1:7" ht="12.75" x14ac:dyDescent="0.2">
      <c r="A212" s="71"/>
      <c r="B212" s="72"/>
      <c r="C212" s="72"/>
      <c r="E212" s="72"/>
      <c r="G212" s="71"/>
    </row>
    <row r="213" spans="1:7" ht="12.75" x14ac:dyDescent="0.2">
      <c r="A213" s="71"/>
      <c r="B213" s="72"/>
      <c r="C213" s="72"/>
      <c r="E213" s="72"/>
      <c r="G213" s="71"/>
    </row>
    <row r="214" spans="1:7" ht="12.75" x14ac:dyDescent="0.2">
      <c r="A214" s="71"/>
      <c r="B214" s="72"/>
      <c r="C214" s="72"/>
      <c r="E214" s="72"/>
      <c r="G214" s="71"/>
    </row>
    <row r="215" spans="1:7" ht="12.75" x14ac:dyDescent="0.2">
      <c r="A215" s="71"/>
      <c r="B215" s="72"/>
      <c r="C215" s="72"/>
      <c r="E215" s="72"/>
      <c r="G215" s="71"/>
    </row>
    <row r="216" spans="1:7" ht="12.75" x14ac:dyDescent="0.2">
      <c r="A216" s="71"/>
      <c r="B216" s="72"/>
      <c r="C216" s="72"/>
      <c r="E216" s="72"/>
      <c r="G216" s="71"/>
    </row>
    <row r="217" spans="1:7" ht="12.75" x14ac:dyDescent="0.2">
      <c r="A217" s="71"/>
      <c r="B217" s="72"/>
      <c r="C217" s="72"/>
      <c r="E217" s="72"/>
      <c r="G217" s="71"/>
    </row>
    <row r="218" spans="1:7" ht="12.75" x14ac:dyDescent="0.2">
      <c r="A218" s="71"/>
      <c r="B218" s="72"/>
      <c r="C218" s="72"/>
      <c r="E218" s="72"/>
      <c r="G218" s="71"/>
    </row>
    <row r="219" spans="1:7" ht="12.75" x14ac:dyDescent="0.2">
      <c r="A219" s="71"/>
      <c r="B219" s="72"/>
      <c r="C219" s="72"/>
      <c r="E219" s="72"/>
      <c r="G219" s="71"/>
    </row>
    <row r="220" spans="1:7" ht="12.75" x14ac:dyDescent="0.2">
      <c r="A220" s="71"/>
      <c r="B220" s="72"/>
      <c r="C220" s="72"/>
      <c r="E220" s="72"/>
      <c r="G220" s="71"/>
    </row>
    <row r="221" spans="1:7" ht="12.75" x14ac:dyDescent="0.2">
      <c r="A221" s="71"/>
      <c r="B221" s="72"/>
      <c r="C221" s="72"/>
      <c r="E221" s="72"/>
      <c r="G221" s="71"/>
    </row>
    <row r="222" spans="1:7" ht="12.75" x14ac:dyDescent="0.2">
      <c r="A222" s="71"/>
      <c r="B222" s="72"/>
      <c r="C222" s="72"/>
      <c r="E222" s="72"/>
      <c r="G222" s="71"/>
    </row>
    <row r="223" spans="1:7" ht="12.75" x14ac:dyDescent="0.2">
      <c r="A223" s="71"/>
      <c r="B223" s="72"/>
      <c r="C223" s="72"/>
      <c r="E223" s="72"/>
      <c r="G223" s="71"/>
    </row>
    <row r="224" spans="1:7" ht="12.75" x14ac:dyDescent="0.2">
      <c r="A224" s="71"/>
      <c r="B224" s="72"/>
      <c r="C224" s="72"/>
      <c r="E224" s="72"/>
      <c r="G224" s="71"/>
    </row>
    <row r="225" spans="1:7" ht="12.75" x14ac:dyDescent="0.2">
      <c r="A225" s="71"/>
      <c r="B225" s="72"/>
      <c r="C225" s="72"/>
      <c r="E225" s="72"/>
      <c r="G225" s="71"/>
    </row>
    <row r="226" spans="1:7" ht="12.75" x14ac:dyDescent="0.2">
      <c r="A226" s="71"/>
      <c r="B226" s="72"/>
      <c r="C226" s="72"/>
      <c r="E226" s="72"/>
      <c r="G226" s="71"/>
    </row>
    <row r="227" spans="1:7" ht="12.75" x14ac:dyDescent="0.2">
      <c r="A227" s="71"/>
      <c r="B227" s="72"/>
      <c r="C227" s="72"/>
      <c r="E227" s="72"/>
      <c r="G227" s="71"/>
    </row>
    <row r="228" spans="1:7" ht="12.75" x14ac:dyDescent="0.2">
      <c r="A228" s="71"/>
      <c r="B228" s="72"/>
      <c r="C228" s="72"/>
      <c r="E228" s="72"/>
      <c r="G228" s="71"/>
    </row>
    <row r="229" spans="1:7" ht="12.75" x14ac:dyDescent="0.2">
      <c r="A229" s="71"/>
      <c r="B229" s="72"/>
      <c r="C229" s="72"/>
      <c r="E229" s="72"/>
      <c r="G229" s="71"/>
    </row>
    <row r="230" spans="1:7" ht="12.75" x14ac:dyDescent="0.2">
      <c r="A230" s="71"/>
      <c r="B230" s="72"/>
      <c r="C230" s="72"/>
      <c r="E230" s="72"/>
      <c r="G230" s="71"/>
    </row>
    <row r="231" spans="1:7" ht="12.75" x14ac:dyDescent="0.2">
      <c r="A231" s="71"/>
      <c r="B231" s="72"/>
      <c r="C231" s="72"/>
      <c r="E231" s="72"/>
      <c r="G231" s="71"/>
    </row>
    <row r="232" spans="1:7" ht="12.75" x14ac:dyDescent="0.2">
      <c r="A232" s="71"/>
      <c r="B232" s="72"/>
      <c r="C232" s="72"/>
      <c r="E232" s="72"/>
      <c r="G232" s="71"/>
    </row>
    <row r="233" spans="1:7" ht="12.75" x14ac:dyDescent="0.2">
      <c r="A233" s="71"/>
      <c r="B233" s="72"/>
      <c r="C233" s="72"/>
      <c r="E233" s="72"/>
      <c r="G233" s="71"/>
    </row>
    <row r="234" spans="1:7" ht="12.75" x14ac:dyDescent="0.2">
      <c r="A234" s="71"/>
      <c r="B234" s="72"/>
      <c r="C234" s="72"/>
      <c r="E234" s="72"/>
      <c r="G234" s="71"/>
    </row>
    <row r="235" spans="1:7" ht="12.75" x14ac:dyDescent="0.2">
      <c r="A235" s="71"/>
      <c r="B235" s="72"/>
      <c r="C235" s="72"/>
      <c r="E235" s="72"/>
      <c r="G235" s="71"/>
    </row>
    <row r="236" spans="1:7" ht="12.75" x14ac:dyDescent="0.2">
      <c r="A236" s="71"/>
      <c r="B236" s="72"/>
      <c r="C236" s="72"/>
      <c r="E236" s="72"/>
      <c r="G236" s="71"/>
    </row>
    <row r="237" spans="1:7" ht="12.75" x14ac:dyDescent="0.2">
      <c r="A237" s="71"/>
      <c r="B237" s="72"/>
      <c r="C237" s="72"/>
      <c r="E237" s="72"/>
      <c r="G237" s="71"/>
    </row>
    <row r="238" spans="1:7" ht="12.75" x14ac:dyDescent="0.2">
      <c r="A238" s="71"/>
      <c r="B238" s="72"/>
      <c r="C238" s="72"/>
      <c r="E238" s="72"/>
      <c r="G238" s="71"/>
    </row>
    <row r="239" spans="1:7" ht="12.75" x14ac:dyDescent="0.2">
      <c r="A239" s="71"/>
      <c r="B239" s="72"/>
      <c r="C239" s="72"/>
      <c r="E239" s="72"/>
      <c r="G239" s="71"/>
    </row>
    <row r="240" spans="1:7" ht="12.75" x14ac:dyDescent="0.2">
      <c r="A240" s="71"/>
      <c r="B240" s="72"/>
      <c r="C240" s="72"/>
      <c r="E240" s="72"/>
      <c r="G240" s="71"/>
    </row>
    <row r="241" spans="1:7" ht="12.75" x14ac:dyDescent="0.2">
      <c r="A241" s="71"/>
      <c r="B241" s="72"/>
      <c r="C241" s="72"/>
      <c r="E241" s="72"/>
      <c r="G241" s="71"/>
    </row>
    <row r="242" spans="1:7" ht="12.75" x14ac:dyDescent="0.2">
      <c r="A242" s="71"/>
      <c r="B242" s="72"/>
      <c r="C242" s="72"/>
      <c r="E242" s="72"/>
      <c r="G242" s="71"/>
    </row>
    <row r="243" spans="1:7" ht="12.75" x14ac:dyDescent="0.2">
      <c r="A243" s="71"/>
      <c r="B243" s="72"/>
      <c r="C243" s="72"/>
      <c r="E243" s="72"/>
      <c r="G243" s="71"/>
    </row>
    <row r="244" spans="1:7" ht="12.75" x14ac:dyDescent="0.2">
      <c r="A244" s="71"/>
      <c r="B244" s="72"/>
      <c r="C244" s="72"/>
      <c r="E244" s="72"/>
      <c r="G244" s="71"/>
    </row>
    <row r="245" spans="1:7" ht="12.75" x14ac:dyDescent="0.2">
      <c r="A245" s="71"/>
      <c r="B245" s="72"/>
      <c r="C245" s="72"/>
      <c r="E245" s="72"/>
      <c r="G245" s="71"/>
    </row>
    <row r="246" spans="1:7" ht="12.75" x14ac:dyDescent="0.2">
      <c r="A246" s="71"/>
      <c r="B246" s="72"/>
      <c r="C246" s="72"/>
      <c r="E246" s="72"/>
      <c r="G246" s="71"/>
    </row>
    <row r="247" spans="1:7" ht="12.75" x14ac:dyDescent="0.2">
      <c r="A247" s="71"/>
      <c r="B247" s="72"/>
      <c r="C247" s="72"/>
      <c r="E247" s="72"/>
      <c r="G247" s="71"/>
    </row>
    <row r="248" spans="1:7" ht="12.75" x14ac:dyDescent="0.2">
      <c r="A248" s="71"/>
      <c r="B248" s="72"/>
      <c r="C248" s="72"/>
      <c r="E248" s="72"/>
      <c r="G248" s="71"/>
    </row>
    <row r="249" spans="1:7" ht="12.75" x14ac:dyDescent="0.2">
      <c r="A249" s="71"/>
      <c r="B249" s="72"/>
      <c r="C249" s="72"/>
      <c r="E249" s="72"/>
      <c r="G249" s="71"/>
    </row>
    <row r="250" spans="1:7" ht="12.75" x14ac:dyDescent="0.2">
      <c r="A250" s="71"/>
      <c r="B250" s="72"/>
      <c r="C250" s="72"/>
      <c r="E250" s="72"/>
      <c r="G250" s="71"/>
    </row>
    <row r="251" spans="1:7" ht="12.75" x14ac:dyDescent="0.2">
      <c r="A251" s="71"/>
      <c r="B251" s="72"/>
      <c r="C251" s="72"/>
      <c r="E251" s="72"/>
      <c r="G251" s="71"/>
    </row>
    <row r="252" spans="1:7" ht="12.75" x14ac:dyDescent="0.2">
      <c r="A252" s="71"/>
      <c r="B252" s="72"/>
      <c r="C252" s="72"/>
      <c r="E252" s="72"/>
      <c r="G252" s="71"/>
    </row>
    <row r="253" spans="1:7" ht="12.75" x14ac:dyDescent="0.2">
      <c r="A253" s="71"/>
      <c r="B253" s="72"/>
      <c r="C253" s="72"/>
      <c r="E253" s="72"/>
      <c r="G253" s="71"/>
    </row>
    <row r="254" spans="1:7" ht="12.75" x14ac:dyDescent="0.2">
      <c r="A254" s="71"/>
      <c r="B254" s="72"/>
      <c r="C254" s="72"/>
      <c r="E254" s="72"/>
      <c r="G254" s="71"/>
    </row>
    <row r="255" spans="1:7" ht="12.75" x14ac:dyDescent="0.2">
      <c r="A255" s="71"/>
      <c r="B255" s="72"/>
      <c r="C255" s="72"/>
      <c r="E255" s="72"/>
      <c r="G255" s="71"/>
    </row>
    <row r="256" spans="1:7" ht="12.75" x14ac:dyDescent="0.2">
      <c r="A256" s="71"/>
      <c r="B256" s="72"/>
      <c r="C256" s="72"/>
      <c r="E256" s="72"/>
      <c r="G256" s="71"/>
    </row>
    <row r="257" spans="1:7" ht="12.75" x14ac:dyDescent="0.2">
      <c r="A257" s="71"/>
      <c r="B257" s="72"/>
      <c r="C257" s="72"/>
      <c r="E257" s="72"/>
      <c r="G257" s="71"/>
    </row>
    <row r="258" spans="1:7" ht="12.75" x14ac:dyDescent="0.2">
      <c r="A258" s="71"/>
      <c r="B258" s="72"/>
      <c r="C258" s="72"/>
      <c r="E258" s="72"/>
      <c r="G258" s="71"/>
    </row>
    <row r="259" spans="1:7" ht="12.75" x14ac:dyDescent="0.2">
      <c r="A259" s="71"/>
      <c r="B259" s="72"/>
      <c r="C259" s="72"/>
      <c r="E259" s="72"/>
      <c r="G259" s="71"/>
    </row>
    <row r="260" spans="1:7" ht="12.75" x14ac:dyDescent="0.2">
      <c r="A260" s="71"/>
      <c r="B260" s="72"/>
      <c r="C260" s="72"/>
      <c r="E260" s="72"/>
      <c r="G260" s="71"/>
    </row>
    <row r="261" spans="1:7" ht="12.75" x14ac:dyDescent="0.2">
      <c r="A261" s="71"/>
      <c r="B261" s="72"/>
      <c r="C261" s="72"/>
      <c r="E261" s="72"/>
      <c r="G261" s="71"/>
    </row>
    <row r="262" spans="1:7" ht="12.75" x14ac:dyDescent="0.2">
      <c r="A262" s="71"/>
      <c r="B262" s="72"/>
      <c r="C262" s="72"/>
      <c r="E262" s="72"/>
      <c r="G262" s="71"/>
    </row>
    <row r="263" spans="1:7" ht="12.75" x14ac:dyDescent="0.2">
      <c r="A263" s="71"/>
      <c r="B263" s="72"/>
      <c r="C263" s="72"/>
      <c r="E263" s="72"/>
      <c r="G263" s="71"/>
    </row>
    <row r="264" spans="1:7" ht="12.75" x14ac:dyDescent="0.2">
      <c r="A264" s="71"/>
      <c r="B264" s="72"/>
      <c r="C264" s="72"/>
      <c r="E264" s="72"/>
      <c r="G264" s="71"/>
    </row>
    <row r="265" spans="1:7" ht="12.75" x14ac:dyDescent="0.2">
      <c r="A265" s="71"/>
      <c r="B265" s="72"/>
      <c r="C265" s="72"/>
      <c r="E265" s="72"/>
      <c r="G265" s="71"/>
    </row>
    <row r="266" spans="1:7" ht="12.75" x14ac:dyDescent="0.2">
      <c r="A266" s="71"/>
      <c r="B266" s="72"/>
      <c r="C266" s="72"/>
      <c r="E266" s="72"/>
      <c r="G266" s="71"/>
    </row>
    <row r="267" spans="1:7" ht="12.75" x14ac:dyDescent="0.2">
      <c r="A267" s="71"/>
      <c r="B267" s="72"/>
      <c r="C267" s="72"/>
      <c r="E267" s="72"/>
      <c r="G267" s="71"/>
    </row>
    <row r="268" spans="1:7" ht="12.75" x14ac:dyDescent="0.2">
      <c r="A268" s="71"/>
      <c r="B268" s="72"/>
      <c r="C268" s="72"/>
      <c r="E268" s="72"/>
      <c r="G268" s="71"/>
    </row>
    <row r="269" spans="1:7" ht="12.75" x14ac:dyDescent="0.2">
      <c r="A269" s="71"/>
      <c r="B269" s="72"/>
      <c r="C269" s="72"/>
      <c r="E269" s="72"/>
      <c r="G269" s="71"/>
    </row>
    <row r="270" spans="1:7" ht="12.75" x14ac:dyDescent="0.2">
      <c r="A270" s="71"/>
      <c r="B270" s="72"/>
      <c r="C270" s="72"/>
      <c r="E270" s="72"/>
      <c r="G270" s="71"/>
    </row>
    <row r="271" spans="1:7" ht="12.75" x14ac:dyDescent="0.2">
      <c r="A271" s="71"/>
      <c r="B271" s="72"/>
      <c r="C271" s="72"/>
      <c r="E271" s="72"/>
      <c r="G271" s="71"/>
    </row>
    <row r="272" spans="1:7" ht="12.75" x14ac:dyDescent="0.2">
      <c r="A272" s="71"/>
      <c r="B272" s="72"/>
      <c r="C272" s="72"/>
      <c r="E272" s="72"/>
      <c r="G272" s="71"/>
    </row>
    <row r="273" spans="1:7" ht="12.75" x14ac:dyDescent="0.2">
      <c r="A273" s="71"/>
      <c r="B273" s="72"/>
      <c r="C273" s="72"/>
      <c r="E273" s="72"/>
      <c r="G273" s="71"/>
    </row>
    <row r="274" spans="1:7" ht="12.75" x14ac:dyDescent="0.2">
      <c r="A274" s="71"/>
      <c r="B274" s="72"/>
      <c r="C274" s="72"/>
      <c r="E274" s="72"/>
      <c r="G274" s="71"/>
    </row>
    <row r="275" spans="1:7" ht="12.75" x14ac:dyDescent="0.2">
      <c r="A275" s="71"/>
      <c r="B275" s="72"/>
      <c r="C275" s="72"/>
      <c r="E275" s="72"/>
      <c r="G275" s="71"/>
    </row>
    <row r="276" spans="1:7" ht="12.75" x14ac:dyDescent="0.2">
      <c r="A276" s="71"/>
      <c r="B276" s="72"/>
      <c r="C276" s="72"/>
      <c r="E276" s="72"/>
      <c r="G276" s="71"/>
    </row>
    <row r="277" spans="1:7" ht="12.75" x14ac:dyDescent="0.2">
      <c r="A277" s="71"/>
      <c r="B277" s="72"/>
      <c r="C277" s="72"/>
      <c r="E277" s="72"/>
      <c r="G277" s="71"/>
    </row>
    <row r="278" spans="1:7" ht="12.75" x14ac:dyDescent="0.2">
      <c r="A278" s="71"/>
      <c r="B278" s="72"/>
      <c r="C278" s="72"/>
      <c r="E278" s="72"/>
      <c r="G278" s="71"/>
    </row>
    <row r="279" spans="1:7" ht="12.75" x14ac:dyDescent="0.2">
      <c r="A279" s="71"/>
      <c r="B279" s="72"/>
      <c r="C279" s="72"/>
      <c r="E279" s="72"/>
      <c r="G279" s="71"/>
    </row>
    <row r="280" spans="1:7" ht="12.75" x14ac:dyDescent="0.2">
      <c r="A280" s="71"/>
      <c r="B280" s="72"/>
      <c r="C280" s="72"/>
      <c r="E280" s="72"/>
      <c r="G280" s="71"/>
    </row>
    <row r="281" spans="1:7" ht="12.75" x14ac:dyDescent="0.2">
      <c r="A281" s="71"/>
      <c r="B281" s="72"/>
      <c r="C281" s="72"/>
      <c r="E281" s="72"/>
      <c r="G281" s="71"/>
    </row>
    <row r="282" spans="1:7" ht="12.75" x14ac:dyDescent="0.2">
      <c r="A282" s="71"/>
      <c r="B282" s="72"/>
      <c r="C282" s="72"/>
      <c r="E282" s="72"/>
      <c r="G282" s="71"/>
    </row>
    <row r="283" spans="1:7" ht="12.75" x14ac:dyDescent="0.2">
      <c r="A283" s="71"/>
      <c r="B283" s="72"/>
      <c r="C283" s="72"/>
      <c r="E283" s="72"/>
      <c r="G283" s="71"/>
    </row>
    <row r="284" spans="1:7" ht="12.75" x14ac:dyDescent="0.2">
      <c r="A284" s="71"/>
      <c r="B284" s="72"/>
      <c r="C284" s="72"/>
      <c r="E284" s="72"/>
      <c r="G284" s="71"/>
    </row>
    <row r="285" spans="1:7" ht="12.75" x14ac:dyDescent="0.2">
      <c r="A285" s="71"/>
      <c r="B285" s="72"/>
      <c r="C285" s="72"/>
      <c r="E285" s="72"/>
      <c r="G285" s="71"/>
    </row>
    <row r="286" spans="1:7" ht="12.75" x14ac:dyDescent="0.2">
      <c r="A286" s="71"/>
      <c r="B286" s="72"/>
      <c r="C286" s="72"/>
      <c r="E286" s="72"/>
      <c r="G286" s="71"/>
    </row>
    <row r="287" spans="1:7" ht="12.75" x14ac:dyDescent="0.2">
      <c r="A287" s="71"/>
      <c r="B287" s="72"/>
      <c r="C287" s="72"/>
      <c r="E287" s="72"/>
      <c r="G287" s="71"/>
    </row>
    <row r="288" spans="1:7" ht="12.75" x14ac:dyDescent="0.2">
      <c r="A288" s="71"/>
      <c r="B288" s="72"/>
      <c r="C288" s="72"/>
      <c r="E288" s="72"/>
      <c r="G288" s="71"/>
    </row>
    <row r="289" spans="1:7" ht="12.75" x14ac:dyDescent="0.2">
      <c r="A289" s="71"/>
      <c r="B289" s="72"/>
      <c r="C289" s="72"/>
      <c r="E289" s="72"/>
      <c r="G289" s="71"/>
    </row>
    <row r="290" spans="1:7" ht="12.75" x14ac:dyDescent="0.2">
      <c r="A290" s="71"/>
      <c r="B290" s="72"/>
      <c r="C290" s="72"/>
      <c r="E290" s="72"/>
      <c r="G290" s="71"/>
    </row>
    <row r="291" spans="1:7" ht="12.75" x14ac:dyDescent="0.2">
      <c r="A291" s="71"/>
      <c r="B291" s="72"/>
      <c r="C291" s="72"/>
      <c r="E291" s="72"/>
      <c r="G291" s="71"/>
    </row>
    <row r="292" spans="1:7" ht="12.75" x14ac:dyDescent="0.2">
      <c r="A292" s="71"/>
      <c r="B292" s="72"/>
      <c r="C292" s="72"/>
      <c r="E292" s="72"/>
      <c r="G292" s="71"/>
    </row>
    <row r="293" spans="1:7" ht="12.75" x14ac:dyDescent="0.2">
      <c r="A293" s="71"/>
      <c r="B293" s="72"/>
      <c r="C293" s="72"/>
      <c r="E293" s="72"/>
      <c r="G293" s="71"/>
    </row>
    <row r="294" spans="1:7" ht="12.75" x14ac:dyDescent="0.2">
      <c r="A294" s="71"/>
      <c r="B294" s="72"/>
      <c r="C294" s="72"/>
      <c r="E294" s="72"/>
      <c r="G294" s="71"/>
    </row>
    <row r="295" spans="1:7" ht="12.75" x14ac:dyDescent="0.2">
      <c r="A295" s="71"/>
      <c r="B295" s="72"/>
      <c r="C295" s="72"/>
      <c r="E295" s="72"/>
      <c r="G295" s="71"/>
    </row>
    <row r="296" spans="1:7" ht="12.75" x14ac:dyDescent="0.2">
      <c r="A296" s="71"/>
      <c r="B296" s="72"/>
      <c r="C296" s="72"/>
      <c r="E296" s="72"/>
      <c r="G296" s="71"/>
    </row>
    <row r="297" spans="1:7" ht="12.75" x14ac:dyDescent="0.2">
      <c r="A297" s="71"/>
      <c r="B297" s="72"/>
      <c r="C297" s="72"/>
      <c r="E297" s="72"/>
      <c r="G297" s="71"/>
    </row>
    <row r="298" spans="1:7" ht="12.75" x14ac:dyDescent="0.2">
      <c r="A298" s="71"/>
      <c r="B298" s="72"/>
      <c r="C298" s="72"/>
      <c r="E298" s="72"/>
      <c r="G298" s="71"/>
    </row>
    <row r="299" spans="1:7" ht="12.75" x14ac:dyDescent="0.2">
      <c r="A299" s="71"/>
      <c r="B299" s="72"/>
      <c r="C299" s="72"/>
      <c r="E299" s="72"/>
      <c r="G299" s="71"/>
    </row>
    <row r="300" spans="1:7" ht="12.75" x14ac:dyDescent="0.2">
      <c r="A300" s="71"/>
      <c r="B300" s="72"/>
      <c r="C300" s="72"/>
      <c r="E300" s="72"/>
      <c r="G300" s="71"/>
    </row>
    <row r="301" spans="1:7" ht="12.75" x14ac:dyDescent="0.2">
      <c r="A301" s="71"/>
      <c r="B301" s="72"/>
      <c r="C301" s="72"/>
      <c r="E301" s="72"/>
      <c r="G301" s="71"/>
    </row>
    <row r="302" spans="1:7" ht="12.75" x14ac:dyDescent="0.2">
      <c r="A302" s="71"/>
      <c r="B302" s="72"/>
      <c r="C302" s="72"/>
      <c r="E302" s="72"/>
      <c r="G302" s="71"/>
    </row>
    <row r="303" spans="1:7" ht="12.75" x14ac:dyDescent="0.2">
      <c r="A303" s="71"/>
      <c r="B303" s="72"/>
      <c r="C303" s="72"/>
      <c r="E303" s="72"/>
      <c r="G303" s="71"/>
    </row>
    <row r="304" spans="1:7" ht="12.75" x14ac:dyDescent="0.2">
      <c r="A304" s="71"/>
      <c r="B304" s="72"/>
      <c r="C304" s="72"/>
      <c r="E304" s="72"/>
      <c r="G304" s="71"/>
    </row>
    <row r="305" spans="1:7" ht="12.75" x14ac:dyDescent="0.2">
      <c r="A305" s="71"/>
      <c r="B305" s="72"/>
      <c r="C305" s="72"/>
      <c r="E305" s="72"/>
      <c r="G305" s="71"/>
    </row>
    <row r="306" spans="1:7" ht="12.75" x14ac:dyDescent="0.2">
      <c r="A306" s="71"/>
      <c r="B306" s="72"/>
      <c r="C306" s="72"/>
      <c r="E306" s="72"/>
      <c r="G306" s="71"/>
    </row>
    <row r="307" spans="1:7" ht="12.75" x14ac:dyDescent="0.2">
      <c r="A307" s="71"/>
      <c r="B307" s="72"/>
      <c r="C307" s="72"/>
      <c r="E307" s="72"/>
      <c r="G307" s="71"/>
    </row>
    <row r="308" spans="1:7" ht="12.75" x14ac:dyDescent="0.2">
      <c r="A308" s="71"/>
      <c r="B308" s="72"/>
      <c r="C308" s="72"/>
      <c r="E308" s="72"/>
      <c r="G308" s="71"/>
    </row>
    <row r="309" spans="1:7" ht="12.75" x14ac:dyDescent="0.2">
      <c r="A309" s="71"/>
      <c r="B309" s="72"/>
      <c r="C309" s="72"/>
      <c r="E309" s="72"/>
      <c r="G309" s="71"/>
    </row>
    <row r="310" spans="1:7" ht="12.75" x14ac:dyDescent="0.2">
      <c r="A310" s="71"/>
      <c r="B310" s="72"/>
      <c r="C310" s="72"/>
      <c r="E310" s="72"/>
      <c r="G310" s="71"/>
    </row>
    <row r="311" spans="1:7" ht="12.75" x14ac:dyDescent="0.2">
      <c r="A311" s="71"/>
      <c r="B311" s="72"/>
      <c r="C311" s="72"/>
      <c r="E311" s="72"/>
      <c r="G311" s="71"/>
    </row>
    <row r="312" spans="1:7" ht="12.75" x14ac:dyDescent="0.2">
      <c r="A312" s="71"/>
      <c r="B312" s="72"/>
      <c r="C312" s="72"/>
      <c r="E312" s="72"/>
      <c r="G312" s="71"/>
    </row>
    <row r="313" spans="1:7" ht="12.75" x14ac:dyDescent="0.2">
      <c r="A313" s="71"/>
      <c r="B313" s="72"/>
      <c r="C313" s="72"/>
      <c r="E313" s="72"/>
      <c r="G313" s="71"/>
    </row>
    <row r="314" spans="1:7" ht="12.75" x14ac:dyDescent="0.2">
      <c r="A314" s="71"/>
      <c r="B314" s="72"/>
      <c r="C314" s="72"/>
      <c r="E314" s="72"/>
      <c r="G314" s="71"/>
    </row>
    <row r="315" spans="1:7" ht="12.75" x14ac:dyDescent="0.2">
      <c r="A315" s="71"/>
      <c r="B315" s="72"/>
      <c r="C315" s="72"/>
      <c r="E315" s="72"/>
      <c r="G315" s="71"/>
    </row>
    <row r="316" spans="1:7" ht="12.75" x14ac:dyDescent="0.2">
      <c r="A316" s="71"/>
      <c r="B316" s="72"/>
      <c r="C316" s="72"/>
      <c r="E316" s="72"/>
      <c r="G316" s="71"/>
    </row>
    <row r="317" spans="1:7" ht="12.75" x14ac:dyDescent="0.2">
      <c r="A317" s="71"/>
      <c r="B317" s="72"/>
      <c r="C317" s="72"/>
      <c r="E317" s="72"/>
      <c r="G317" s="71"/>
    </row>
    <row r="318" spans="1:7" ht="12.75" x14ac:dyDescent="0.2">
      <c r="A318" s="71"/>
      <c r="B318" s="72"/>
      <c r="C318" s="72"/>
      <c r="E318" s="72"/>
      <c r="G318" s="71"/>
    </row>
    <row r="319" spans="1:7" ht="12.75" x14ac:dyDescent="0.2">
      <c r="A319" s="71"/>
      <c r="B319" s="72"/>
      <c r="C319" s="72"/>
      <c r="E319" s="72"/>
      <c r="G319" s="71"/>
    </row>
    <row r="320" spans="1:7" ht="12.75" x14ac:dyDescent="0.2">
      <c r="A320" s="71"/>
      <c r="B320" s="72"/>
      <c r="C320" s="72"/>
      <c r="E320" s="72"/>
      <c r="G320" s="71"/>
    </row>
    <row r="321" spans="1:7" ht="12.75" x14ac:dyDescent="0.2">
      <c r="A321" s="71"/>
      <c r="B321" s="72"/>
      <c r="C321" s="72"/>
      <c r="E321" s="72"/>
      <c r="G321" s="71"/>
    </row>
    <row r="322" spans="1:7" ht="12.75" x14ac:dyDescent="0.2">
      <c r="A322" s="71"/>
      <c r="B322" s="72"/>
      <c r="C322" s="72"/>
      <c r="E322" s="72"/>
      <c r="G322" s="71"/>
    </row>
    <row r="323" spans="1:7" ht="12.75" x14ac:dyDescent="0.2">
      <c r="A323" s="71"/>
      <c r="B323" s="72"/>
      <c r="C323" s="72"/>
      <c r="E323" s="72"/>
      <c r="G323" s="71"/>
    </row>
    <row r="324" spans="1:7" ht="12.75" x14ac:dyDescent="0.2">
      <c r="A324" s="71"/>
      <c r="B324" s="72"/>
      <c r="C324" s="72"/>
      <c r="E324" s="72"/>
      <c r="G324" s="71"/>
    </row>
    <row r="325" spans="1:7" ht="12.75" x14ac:dyDescent="0.2">
      <c r="A325" s="71"/>
      <c r="B325" s="72"/>
      <c r="C325" s="72"/>
      <c r="E325" s="72"/>
      <c r="G325" s="71"/>
    </row>
    <row r="326" spans="1:7" ht="12.75" x14ac:dyDescent="0.2">
      <c r="A326" s="71"/>
      <c r="B326" s="72"/>
      <c r="C326" s="72"/>
      <c r="E326" s="72"/>
      <c r="G326" s="71"/>
    </row>
    <row r="327" spans="1:7" ht="12.75" x14ac:dyDescent="0.2">
      <c r="A327" s="71"/>
      <c r="B327" s="72"/>
      <c r="C327" s="72"/>
      <c r="E327" s="72"/>
      <c r="G327" s="71"/>
    </row>
    <row r="328" spans="1:7" ht="12.75" x14ac:dyDescent="0.2">
      <c r="A328" s="71"/>
      <c r="B328" s="72"/>
      <c r="C328" s="72"/>
      <c r="E328" s="72"/>
      <c r="G328" s="71"/>
    </row>
    <row r="329" spans="1:7" ht="12.75" x14ac:dyDescent="0.2">
      <c r="A329" s="71"/>
      <c r="B329" s="72"/>
      <c r="C329" s="72"/>
      <c r="E329" s="72"/>
      <c r="G329" s="71"/>
    </row>
    <row r="330" spans="1:7" ht="12.75" x14ac:dyDescent="0.2">
      <c r="A330" s="71"/>
      <c r="B330" s="72"/>
      <c r="C330" s="72"/>
      <c r="E330" s="72"/>
      <c r="G330" s="71"/>
    </row>
    <row r="331" spans="1:7" ht="12.75" x14ac:dyDescent="0.2">
      <c r="A331" s="71"/>
      <c r="B331" s="72"/>
      <c r="C331" s="72"/>
      <c r="E331" s="72"/>
      <c r="G331" s="71"/>
    </row>
    <row r="332" spans="1:7" ht="12.75" x14ac:dyDescent="0.2">
      <c r="A332" s="71"/>
      <c r="B332" s="72"/>
      <c r="C332" s="72"/>
      <c r="E332" s="72"/>
      <c r="G332" s="71"/>
    </row>
    <row r="333" spans="1:7" ht="12.75" x14ac:dyDescent="0.2">
      <c r="A333" s="71"/>
      <c r="B333" s="72"/>
      <c r="C333" s="72"/>
      <c r="E333" s="72"/>
      <c r="G333" s="71"/>
    </row>
    <row r="334" spans="1:7" ht="12.75" x14ac:dyDescent="0.2">
      <c r="A334" s="71"/>
      <c r="B334" s="72"/>
      <c r="C334" s="72"/>
      <c r="E334" s="72"/>
      <c r="G334" s="71"/>
    </row>
    <row r="335" spans="1:7" ht="12.75" x14ac:dyDescent="0.2">
      <c r="A335" s="71"/>
      <c r="B335" s="72"/>
      <c r="C335" s="72"/>
      <c r="E335" s="72"/>
      <c r="G335" s="71"/>
    </row>
    <row r="336" spans="1:7" ht="12.75" x14ac:dyDescent="0.2">
      <c r="A336" s="71"/>
      <c r="B336" s="72"/>
      <c r="C336" s="72"/>
      <c r="E336" s="72"/>
      <c r="G336" s="71"/>
    </row>
    <row r="337" spans="1:7" ht="12.75" x14ac:dyDescent="0.2">
      <c r="A337" s="71"/>
      <c r="B337" s="72"/>
      <c r="C337" s="72"/>
      <c r="E337" s="72"/>
      <c r="G337" s="71"/>
    </row>
    <row r="338" spans="1:7" ht="12.75" x14ac:dyDescent="0.2">
      <c r="A338" s="71"/>
      <c r="B338" s="72"/>
      <c r="C338" s="72"/>
      <c r="E338" s="72"/>
      <c r="G338" s="71"/>
    </row>
    <row r="339" spans="1:7" ht="12.75" x14ac:dyDescent="0.2">
      <c r="A339" s="71"/>
      <c r="B339" s="72"/>
      <c r="C339" s="72"/>
      <c r="E339" s="72"/>
      <c r="G339" s="71"/>
    </row>
    <row r="340" spans="1:7" ht="12.75" x14ac:dyDescent="0.2">
      <c r="A340" s="71"/>
      <c r="B340" s="72"/>
      <c r="C340" s="72"/>
      <c r="E340" s="72"/>
      <c r="G340" s="71"/>
    </row>
    <row r="341" spans="1:7" ht="12.75" x14ac:dyDescent="0.2">
      <c r="A341" s="71"/>
      <c r="B341" s="72"/>
      <c r="C341" s="72"/>
      <c r="E341" s="72"/>
      <c r="G341" s="71"/>
    </row>
    <row r="342" spans="1:7" ht="12.75" x14ac:dyDescent="0.2">
      <c r="A342" s="71"/>
      <c r="B342" s="72"/>
      <c r="C342" s="72"/>
      <c r="E342" s="72"/>
      <c r="G342" s="71"/>
    </row>
    <row r="343" spans="1:7" ht="12.75" x14ac:dyDescent="0.2">
      <c r="A343" s="71"/>
      <c r="B343" s="72"/>
      <c r="C343" s="72"/>
      <c r="E343" s="72"/>
      <c r="G343" s="71"/>
    </row>
    <row r="344" spans="1:7" ht="12.75" x14ac:dyDescent="0.2">
      <c r="A344" s="71"/>
      <c r="B344" s="72"/>
      <c r="C344" s="72"/>
      <c r="E344" s="72"/>
      <c r="G344" s="71"/>
    </row>
    <row r="345" spans="1:7" ht="12.75" x14ac:dyDescent="0.2">
      <c r="A345" s="71"/>
      <c r="B345" s="72"/>
      <c r="C345" s="72"/>
      <c r="E345" s="72"/>
      <c r="G345" s="71"/>
    </row>
    <row r="346" spans="1:7" ht="12.75" x14ac:dyDescent="0.2">
      <c r="A346" s="71"/>
      <c r="B346" s="72"/>
      <c r="C346" s="72"/>
      <c r="E346" s="72"/>
      <c r="G346" s="71"/>
    </row>
    <row r="347" spans="1:7" ht="12.75" x14ac:dyDescent="0.2">
      <c r="A347" s="71"/>
      <c r="B347" s="72"/>
      <c r="C347" s="72"/>
      <c r="E347" s="72"/>
      <c r="G347" s="71"/>
    </row>
    <row r="348" spans="1:7" ht="12.75" x14ac:dyDescent="0.2">
      <c r="A348" s="71"/>
      <c r="B348" s="72"/>
      <c r="C348" s="72"/>
      <c r="E348" s="72"/>
      <c r="G348" s="71"/>
    </row>
    <row r="349" spans="1:7" ht="12.75" x14ac:dyDescent="0.2">
      <c r="A349" s="71"/>
      <c r="B349" s="72"/>
      <c r="C349" s="72"/>
      <c r="E349" s="72"/>
      <c r="G349" s="71"/>
    </row>
    <row r="350" spans="1:7" ht="12.75" x14ac:dyDescent="0.2">
      <c r="A350" s="71"/>
      <c r="B350" s="72"/>
      <c r="C350" s="72"/>
      <c r="E350" s="72"/>
      <c r="G350" s="71"/>
    </row>
    <row r="351" spans="1:7" ht="12.75" x14ac:dyDescent="0.2">
      <c r="A351" s="71"/>
      <c r="B351" s="72"/>
      <c r="C351" s="72"/>
      <c r="E351" s="72"/>
      <c r="G351" s="71"/>
    </row>
    <row r="352" spans="1:7" ht="12.75" x14ac:dyDescent="0.2">
      <c r="A352" s="71"/>
      <c r="B352" s="72"/>
      <c r="C352" s="72"/>
      <c r="E352" s="72"/>
      <c r="G352" s="71"/>
    </row>
    <row r="353" spans="1:7" ht="12.75" x14ac:dyDescent="0.2">
      <c r="A353" s="71"/>
      <c r="B353" s="72"/>
      <c r="C353" s="72"/>
      <c r="E353" s="72"/>
      <c r="G353" s="71"/>
    </row>
    <row r="354" spans="1:7" ht="12.75" x14ac:dyDescent="0.2">
      <c r="A354" s="71"/>
      <c r="B354" s="72"/>
      <c r="C354" s="72"/>
      <c r="E354" s="72"/>
      <c r="G354" s="71"/>
    </row>
    <row r="355" spans="1:7" ht="12.75" x14ac:dyDescent="0.2">
      <c r="A355" s="71"/>
      <c r="B355" s="72"/>
      <c r="C355" s="72"/>
      <c r="E355" s="72"/>
      <c r="G355" s="71"/>
    </row>
    <row r="356" spans="1:7" ht="12.75" x14ac:dyDescent="0.2">
      <c r="A356" s="71"/>
      <c r="B356" s="72"/>
      <c r="C356" s="72"/>
      <c r="E356" s="72"/>
      <c r="G356" s="71"/>
    </row>
    <row r="357" spans="1:7" ht="12.75" x14ac:dyDescent="0.2">
      <c r="A357" s="71"/>
      <c r="B357" s="72"/>
      <c r="C357" s="72"/>
      <c r="E357" s="72"/>
      <c r="G357" s="71"/>
    </row>
    <row r="358" spans="1:7" ht="12.75" x14ac:dyDescent="0.2">
      <c r="A358" s="71"/>
      <c r="B358" s="72"/>
      <c r="C358" s="72"/>
      <c r="E358" s="72"/>
      <c r="G358" s="71"/>
    </row>
    <row r="359" spans="1:7" ht="12.75" x14ac:dyDescent="0.2">
      <c r="A359" s="71"/>
      <c r="B359" s="72"/>
      <c r="C359" s="72"/>
      <c r="E359" s="72"/>
      <c r="G359" s="71"/>
    </row>
    <row r="360" spans="1:7" ht="12.75" x14ac:dyDescent="0.2">
      <c r="A360" s="71"/>
      <c r="B360" s="72"/>
      <c r="C360" s="72"/>
      <c r="E360" s="72"/>
      <c r="G360" s="71"/>
    </row>
    <row r="361" spans="1:7" ht="12.75" x14ac:dyDescent="0.2">
      <c r="A361" s="71"/>
      <c r="B361" s="72"/>
      <c r="C361" s="72"/>
      <c r="E361" s="72"/>
      <c r="G361" s="71"/>
    </row>
    <row r="362" spans="1:7" ht="12.75" x14ac:dyDescent="0.2">
      <c r="A362" s="71"/>
      <c r="B362" s="72"/>
      <c r="C362" s="72"/>
      <c r="E362" s="72"/>
      <c r="G362" s="71"/>
    </row>
    <row r="363" spans="1:7" ht="12.75" x14ac:dyDescent="0.2">
      <c r="A363" s="71"/>
      <c r="B363" s="72"/>
      <c r="C363" s="72"/>
      <c r="E363" s="72"/>
      <c r="G363" s="71"/>
    </row>
    <row r="364" spans="1:7" ht="12.75" x14ac:dyDescent="0.2">
      <c r="A364" s="71"/>
      <c r="B364" s="72"/>
      <c r="C364" s="72"/>
      <c r="E364" s="72"/>
      <c r="G364" s="71"/>
    </row>
    <row r="365" spans="1:7" ht="12.75" x14ac:dyDescent="0.2">
      <c r="A365" s="71"/>
      <c r="B365" s="72"/>
      <c r="C365" s="72"/>
      <c r="E365" s="72"/>
      <c r="G365" s="71"/>
    </row>
    <row r="366" spans="1:7" ht="12.75" x14ac:dyDescent="0.2">
      <c r="A366" s="71"/>
      <c r="B366" s="72"/>
      <c r="C366" s="72"/>
      <c r="E366" s="72"/>
      <c r="G366" s="71"/>
    </row>
    <row r="367" spans="1:7" ht="12.75" x14ac:dyDescent="0.2">
      <c r="A367" s="71"/>
      <c r="B367" s="72"/>
      <c r="C367" s="72"/>
      <c r="E367" s="72"/>
      <c r="G367" s="71"/>
    </row>
    <row r="368" spans="1:7" ht="12.75" x14ac:dyDescent="0.2">
      <c r="A368" s="71"/>
      <c r="B368" s="72"/>
      <c r="C368" s="72"/>
      <c r="E368" s="72"/>
      <c r="G368" s="71"/>
    </row>
    <row r="369" spans="1:7" ht="12.75" x14ac:dyDescent="0.2">
      <c r="A369" s="71"/>
      <c r="B369" s="72"/>
      <c r="C369" s="72"/>
      <c r="E369" s="72"/>
      <c r="G369" s="71"/>
    </row>
    <row r="370" spans="1:7" ht="12.75" x14ac:dyDescent="0.2">
      <c r="A370" s="71"/>
      <c r="B370" s="72"/>
      <c r="C370" s="72"/>
      <c r="E370" s="72"/>
      <c r="G370" s="71"/>
    </row>
    <row r="371" spans="1:7" ht="12.75" x14ac:dyDescent="0.2">
      <c r="A371" s="71"/>
      <c r="B371" s="72"/>
      <c r="C371" s="72"/>
      <c r="E371" s="72"/>
      <c r="G371" s="71"/>
    </row>
    <row r="372" spans="1:7" ht="12.75" x14ac:dyDescent="0.2">
      <c r="A372" s="71"/>
      <c r="B372" s="72"/>
      <c r="C372" s="72"/>
      <c r="E372" s="72"/>
      <c r="G372" s="71"/>
    </row>
    <row r="373" spans="1:7" ht="12.75" x14ac:dyDescent="0.2">
      <c r="A373" s="71"/>
      <c r="B373" s="72"/>
      <c r="C373" s="72"/>
      <c r="E373" s="72"/>
      <c r="G373" s="71"/>
    </row>
    <row r="374" spans="1:7" ht="12.75" x14ac:dyDescent="0.2">
      <c r="A374" s="71"/>
      <c r="B374" s="72"/>
      <c r="C374" s="72"/>
      <c r="E374" s="72"/>
      <c r="G374" s="71"/>
    </row>
    <row r="375" spans="1:7" ht="12.75" x14ac:dyDescent="0.2">
      <c r="A375" s="71"/>
      <c r="B375" s="72"/>
      <c r="C375" s="72"/>
      <c r="E375" s="72"/>
      <c r="G375" s="71"/>
    </row>
    <row r="376" spans="1:7" ht="12.75" x14ac:dyDescent="0.2">
      <c r="A376" s="71"/>
      <c r="B376" s="72"/>
      <c r="C376" s="72"/>
      <c r="E376" s="72"/>
      <c r="G376" s="71"/>
    </row>
    <row r="377" spans="1:7" ht="12.75" x14ac:dyDescent="0.2">
      <c r="A377" s="71"/>
      <c r="B377" s="72"/>
      <c r="C377" s="72"/>
      <c r="E377" s="72"/>
      <c r="G377" s="71"/>
    </row>
    <row r="378" spans="1:7" ht="12.75" x14ac:dyDescent="0.2">
      <c r="A378" s="71"/>
      <c r="B378" s="72"/>
      <c r="C378" s="72"/>
      <c r="E378" s="72"/>
      <c r="G378" s="71"/>
    </row>
    <row r="379" spans="1:7" ht="12.75" x14ac:dyDescent="0.2">
      <c r="A379" s="71"/>
      <c r="B379" s="72"/>
      <c r="C379" s="72"/>
      <c r="E379" s="72"/>
      <c r="G379" s="71"/>
    </row>
    <row r="380" spans="1:7" ht="12.75" x14ac:dyDescent="0.2">
      <c r="A380" s="71"/>
      <c r="B380" s="72"/>
      <c r="C380" s="72"/>
      <c r="E380" s="72"/>
      <c r="G380" s="71"/>
    </row>
    <row r="381" spans="1:7" ht="12.75" x14ac:dyDescent="0.2">
      <c r="A381" s="71"/>
      <c r="B381" s="72"/>
      <c r="C381" s="72"/>
      <c r="E381" s="72"/>
      <c r="G381" s="71"/>
    </row>
    <row r="382" spans="1:7" ht="12.75" x14ac:dyDescent="0.2">
      <c r="A382" s="71"/>
      <c r="B382" s="72"/>
      <c r="C382" s="72"/>
      <c r="E382" s="72"/>
      <c r="G382" s="71"/>
    </row>
    <row r="383" spans="1:7" ht="12.75" x14ac:dyDescent="0.2">
      <c r="A383" s="71"/>
      <c r="B383" s="72"/>
      <c r="C383" s="72"/>
      <c r="E383" s="72"/>
      <c r="G383" s="71"/>
    </row>
    <row r="384" spans="1:7" ht="12.75" x14ac:dyDescent="0.2">
      <c r="A384" s="71"/>
      <c r="B384" s="72"/>
      <c r="C384" s="72"/>
      <c r="E384" s="72"/>
      <c r="G384" s="71"/>
    </row>
    <row r="385" spans="1:7" ht="12.75" x14ac:dyDescent="0.2">
      <c r="A385" s="71"/>
      <c r="B385" s="72"/>
      <c r="C385" s="72"/>
      <c r="E385" s="72"/>
      <c r="G385" s="71"/>
    </row>
    <row r="386" spans="1:7" ht="12.75" x14ac:dyDescent="0.2">
      <c r="A386" s="71"/>
      <c r="B386" s="72"/>
      <c r="C386" s="72"/>
      <c r="E386" s="72"/>
      <c r="G386" s="71"/>
    </row>
    <row r="387" spans="1:7" ht="12.75" x14ac:dyDescent="0.2">
      <c r="A387" s="71"/>
      <c r="B387" s="72"/>
      <c r="C387" s="72"/>
      <c r="E387" s="72"/>
      <c r="G387" s="71"/>
    </row>
    <row r="388" spans="1:7" ht="12.75" x14ac:dyDescent="0.2">
      <c r="A388" s="71"/>
      <c r="B388" s="72"/>
      <c r="C388" s="72"/>
      <c r="E388" s="72"/>
      <c r="G388" s="71"/>
    </row>
    <row r="389" spans="1:7" ht="12.75" x14ac:dyDescent="0.2">
      <c r="A389" s="71"/>
      <c r="B389" s="72"/>
      <c r="C389" s="72"/>
      <c r="E389" s="72"/>
      <c r="G389" s="71"/>
    </row>
    <row r="390" spans="1:7" ht="12.75" x14ac:dyDescent="0.2">
      <c r="A390" s="71"/>
      <c r="B390" s="72"/>
      <c r="C390" s="72"/>
      <c r="E390" s="72"/>
      <c r="G390" s="71"/>
    </row>
    <row r="391" spans="1:7" ht="12.75" x14ac:dyDescent="0.2">
      <c r="A391" s="71"/>
      <c r="B391" s="72"/>
      <c r="C391" s="72"/>
      <c r="E391" s="72"/>
      <c r="G391" s="71"/>
    </row>
    <row r="392" spans="1:7" ht="12.75" x14ac:dyDescent="0.2">
      <c r="A392" s="71"/>
      <c r="B392" s="72"/>
      <c r="C392" s="72"/>
      <c r="E392" s="72"/>
      <c r="G392" s="71"/>
    </row>
    <row r="393" spans="1:7" ht="12.75" x14ac:dyDescent="0.2">
      <c r="A393" s="71"/>
      <c r="B393" s="72"/>
      <c r="C393" s="72"/>
      <c r="E393" s="72"/>
      <c r="G393" s="71"/>
    </row>
    <row r="394" spans="1:7" ht="12.75" x14ac:dyDescent="0.2">
      <c r="A394" s="71"/>
      <c r="B394" s="72"/>
      <c r="C394" s="72"/>
      <c r="E394" s="72"/>
      <c r="G394" s="71"/>
    </row>
    <row r="395" spans="1:7" ht="12.75" x14ac:dyDescent="0.2">
      <c r="A395" s="71"/>
      <c r="B395" s="72"/>
      <c r="C395" s="72"/>
      <c r="E395" s="72"/>
      <c r="G395" s="71"/>
    </row>
    <row r="396" spans="1:7" ht="12.75" x14ac:dyDescent="0.2">
      <c r="A396" s="71"/>
      <c r="B396" s="72"/>
      <c r="C396" s="72"/>
      <c r="E396" s="72"/>
      <c r="G396" s="71"/>
    </row>
    <row r="397" spans="1:7" ht="12.75" x14ac:dyDescent="0.2">
      <c r="A397" s="71"/>
      <c r="B397" s="72"/>
      <c r="C397" s="72"/>
      <c r="E397" s="72"/>
      <c r="G397" s="71"/>
    </row>
    <row r="398" spans="1:7" ht="12.75" x14ac:dyDescent="0.2">
      <c r="A398" s="71"/>
      <c r="B398" s="72"/>
      <c r="C398" s="72"/>
      <c r="E398" s="72"/>
      <c r="G398" s="71"/>
    </row>
    <row r="399" spans="1:7" ht="12.75" x14ac:dyDescent="0.2">
      <c r="A399" s="71"/>
      <c r="B399" s="72"/>
      <c r="C399" s="72"/>
      <c r="E399" s="72"/>
      <c r="G399" s="71"/>
    </row>
    <row r="400" spans="1:7" ht="12.75" x14ac:dyDescent="0.2">
      <c r="A400" s="71"/>
      <c r="B400" s="72"/>
      <c r="C400" s="72"/>
      <c r="E400" s="72"/>
      <c r="G400" s="71"/>
    </row>
    <row r="401" spans="1:7" ht="12.75" x14ac:dyDescent="0.2">
      <c r="A401" s="71"/>
      <c r="B401" s="72"/>
      <c r="C401" s="72"/>
      <c r="E401" s="72"/>
      <c r="G401" s="71"/>
    </row>
    <row r="402" spans="1:7" ht="12.75" x14ac:dyDescent="0.2">
      <c r="A402" s="71"/>
      <c r="B402" s="72"/>
      <c r="C402" s="72"/>
      <c r="E402" s="72"/>
      <c r="G402" s="71"/>
    </row>
    <row r="403" spans="1:7" ht="12.75" x14ac:dyDescent="0.2">
      <c r="A403" s="71"/>
      <c r="B403" s="72"/>
      <c r="C403" s="72"/>
      <c r="E403" s="72"/>
      <c r="G403" s="71"/>
    </row>
    <row r="404" spans="1:7" ht="12.75" x14ac:dyDescent="0.2">
      <c r="A404" s="71"/>
      <c r="B404" s="72"/>
      <c r="C404" s="72"/>
      <c r="E404" s="72"/>
      <c r="G404" s="71"/>
    </row>
    <row r="405" spans="1:7" ht="12.75" x14ac:dyDescent="0.2">
      <c r="A405" s="71"/>
      <c r="B405" s="72"/>
      <c r="C405" s="72"/>
      <c r="E405" s="72"/>
      <c r="G405" s="71"/>
    </row>
    <row r="406" spans="1:7" ht="12.75" x14ac:dyDescent="0.2">
      <c r="A406" s="71"/>
      <c r="B406" s="72"/>
      <c r="C406" s="72"/>
      <c r="E406" s="72"/>
      <c r="G406" s="71"/>
    </row>
    <row r="407" spans="1:7" ht="12.75" x14ac:dyDescent="0.2">
      <c r="A407" s="71"/>
      <c r="B407" s="72"/>
      <c r="C407" s="72"/>
      <c r="E407" s="72"/>
      <c r="G407" s="71"/>
    </row>
    <row r="408" spans="1:7" ht="12.75" x14ac:dyDescent="0.2">
      <c r="A408" s="71"/>
      <c r="B408" s="72"/>
      <c r="C408" s="72"/>
      <c r="E408" s="72"/>
      <c r="G408" s="71"/>
    </row>
    <row r="409" spans="1:7" ht="12.75" x14ac:dyDescent="0.2">
      <c r="A409" s="71"/>
      <c r="B409" s="72"/>
      <c r="C409" s="72"/>
      <c r="E409" s="72"/>
      <c r="G409" s="71"/>
    </row>
    <row r="410" spans="1:7" ht="12.75" x14ac:dyDescent="0.2">
      <c r="A410" s="71"/>
      <c r="B410" s="72"/>
      <c r="C410" s="72"/>
      <c r="E410" s="72"/>
      <c r="G410" s="71"/>
    </row>
    <row r="411" spans="1:7" ht="12.75" x14ac:dyDescent="0.2">
      <c r="A411" s="71"/>
      <c r="B411" s="72"/>
      <c r="C411" s="72"/>
      <c r="E411" s="72"/>
      <c r="G411" s="71"/>
    </row>
    <row r="412" spans="1:7" ht="12.75" x14ac:dyDescent="0.2">
      <c r="A412" s="71"/>
      <c r="B412" s="72"/>
      <c r="C412" s="72"/>
      <c r="E412" s="72"/>
      <c r="G412" s="71"/>
    </row>
    <row r="413" spans="1:7" ht="12.75" x14ac:dyDescent="0.2">
      <c r="A413" s="71"/>
      <c r="B413" s="72"/>
      <c r="C413" s="72"/>
      <c r="E413" s="72"/>
      <c r="G413" s="71"/>
    </row>
    <row r="414" spans="1:7" ht="12.75" x14ac:dyDescent="0.2">
      <c r="A414" s="71"/>
      <c r="B414" s="72"/>
      <c r="C414" s="72"/>
      <c r="E414" s="72"/>
      <c r="G414" s="71"/>
    </row>
    <row r="415" spans="1:7" ht="12.75" x14ac:dyDescent="0.2">
      <c r="A415" s="71"/>
      <c r="B415" s="72"/>
      <c r="C415" s="72"/>
      <c r="E415" s="72"/>
      <c r="G415" s="71"/>
    </row>
    <row r="416" spans="1:7" ht="12.75" x14ac:dyDescent="0.2">
      <c r="A416" s="71"/>
      <c r="B416" s="72"/>
      <c r="C416" s="72"/>
      <c r="E416" s="72"/>
      <c r="G416" s="71"/>
    </row>
    <row r="417" spans="1:7" ht="12.75" x14ac:dyDescent="0.2">
      <c r="A417" s="71"/>
      <c r="B417" s="72"/>
      <c r="C417" s="72"/>
      <c r="E417" s="72"/>
      <c r="G417" s="71"/>
    </row>
    <row r="418" spans="1:7" ht="12.75" x14ac:dyDescent="0.2">
      <c r="A418" s="71"/>
      <c r="B418" s="72"/>
      <c r="C418" s="72"/>
      <c r="E418" s="72"/>
      <c r="G418" s="71"/>
    </row>
    <row r="419" spans="1:7" ht="12.75" x14ac:dyDescent="0.2">
      <c r="A419" s="71"/>
      <c r="B419" s="72"/>
      <c r="C419" s="72"/>
      <c r="E419" s="72"/>
      <c r="G419" s="71"/>
    </row>
    <row r="420" spans="1:7" ht="12.75" x14ac:dyDescent="0.2">
      <c r="A420" s="71"/>
      <c r="B420" s="72"/>
      <c r="C420" s="72"/>
      <c r="E420" s="72"/>
      <c r="G420" s="71"/>
    </row>
    <row r="421" spans="1:7" ht="12.75" x14ac:dyDescent="0.2">
      <c r="A421" s="71"/>
      <c r="B421" s="72"/>
      <c r="C421" s="72"/>
      <c r="E421" s="72"/>
      <c r="G421" s="71"/>
    </row>
    <row r="422" spans="1:7" ht="12.75" x14ac:dyDescent="0.2">
      <c r="A422" s="71"/>
      <c r="B422" s="72"/>
      <c r="C422" s="72"/>
      <c r="E422" s="72"/>
      <c r="G422" s="71"/>
    </row>
    <row r="423" spans="1:7" ht="12.75" x14ac:dyDescent="0.2">
      <c r="A423" s="71"/>
      <c r="B423" s="72"/>
      <c r="C423" s="72"/>
      <c r="E423" s="72"/>
      <c r="G423" s="71"/>
    </row>
    <row r="424" spans="1:7" ht="12.75" x14ac:dyDescent="0.2">
      <c r="A424" s="71"/>
      <c r="B424" s="72"/>
      <c r="C424" s="72"/>
      <c r="E424" s="72"/>
      <c r="G424" s="71"/>
    </row>
    <row r="425" spans="1:7" ht="12.75" x14ac:dyDescent="0.2">
      <c r="A425" s="71"/>
      <c r="B425" s="72"/>
      <c r="C425" s="72"/>
      <c r="E425" s="72"/>
      <c r="G425" s="71"/>
    </row>
    <row r="426" spans="1:7" ht="12.75" x14ac:dyDescent="0.2">
      <c r="A426" s="71"/>
      <c r="B426" s="72"/>
      <c r="C426" s="72"/>
      <c r="E426" s="72"/>
      <c r="G426" s="71"/>
    </row>
    <row r="427" spans="1:7" ht="12.75" x14ac:dyDescent="0.2">
      <c r="A427" s="71"/>
      <c r="B427" s="72"/>
      <c r="C427" s="72"/>
      <c r="E427" s="72"/>
      <c r="G427" s="71"/>
    </row>
    <row r="428" spans="1:7" ht="12.75" x14ac:dyDescent="0.2">
      <c r="A428" s="71"/>
      <c r="B428" s="72"/>
      <c r="C428" s="72"/>
      <c r="E428" s="72"/>
      <c r="G428" s="71"/>
    </row>
    <row r="429" spans="1:7" ht="12.75" x14ac:dyDescent="0.2">
      <c r="A429" s="71"/>
      <c r="B429" s="72"/>
      <c r="C429" s="72"/>
      <c r="E429" s="72"/>
      <c r="G429" s="71"/>
    </row>
    <row r="430" spans="1:7" ht="12.75" x14ac:dyDescent="0.2">
      <c r="A430" s="71"/>
      <c r="B430" s="72"/>
      <c r="C430" s="72"/>
      <c r="E430" s="72"/>
      <c r="G430" s="71"/>
    </row>
    <row r="431" spans="1:7" ht="12.75" x14ac:dyDescent="0.2">
      <c r="A431" s="71"/>
      <c r="B431" s="72"/>
      <c r="C431" s="72"/>
      <c r="E431" s="72"/>
      <c r="G431" s="71"/>
    </row>
    <row r="432" spans="1:7" ht="12.75" x14ac:dyDescent="0.2">
      <c r="A432" s="71"/>
      <c r="B432" s="72"/>
      <c r="C432" s="72"/>
      <c r="E432" s="72"/>
      <c r="G432" s="71"/>
    </row>
    <row r="433" spans="1:7" ht="12.75" x14ac:dyDescent="0.2">
      <c r="A433" s="71"/>
      <c r="B433" s="72"/>
      <c r="C433" s="72"/>
      <c r="E433" s="72"/>
      <c r="G433" s="71"/>
    </row>
    <row r="434" spans="1:7" ht="12.75" x14ac:dyDescent="0.2">
      <c r="A434" s="71"/>
      <c r="B434" s="72"/>
      <c r="C434" s="72"/>
      <c r="E434" s="72"/>
      <c r="G434" s="71"/>
    </row>
    <row r="435" spans="1:7" ht="12.75" x14ac:dyDescent="0.2">
      <c r="A435" s="71"/>
      <c r="B435" s="72"/>
      <c r="C435" s="72"/>
      <c r="E435" s="72"/>
      <c r="G435" s="71"/>
    </row>
    <row r="436" spans="1:7" ht="12.75" x14ac:dyDescent="0.2">
      <c r="A436" s="71"/>
      <c r="B436" s="72"/>
      <c r="C436" s="72"/>
      <c r="E436" s="72"/>
      <c r="G436" s="71"/>
    </row>
    <row r="437" spans="1:7" ht="12.75" x14ac:dyDescent="0.2">
      <c r="A437" s="71"/>
      <c r="B437" s="72"/>
      <c r="C437" s="72"/>
      <c r="E437" s="72"/>
      <c r="G437" s="71"/>
    </row>
    <row r="438" spans="1:7" ht="12.75" x14ac:dyDescent="0.2">
      <c r="A438" s="71"/>
      <c r="B438" s="72"/>
      <c r="C438" s="72"/>
      <c r="E438" s="72"/>
      <c r="G438" s="71"/>
    </row>
    <row r="439" spans="1:7" ht="12.75" x14ac:dyDescent="0.2">
      <c r="A439" s="71"/>
      <c r="B439" s="72"/>
      <c r="C439" s="72"/>
      <c r="E439" s="72"/>
      <c r="G439" s="71"/>
    </row>
    <row r="440" spans="1:7" ht="12.75" x14ac:dyDescent="0.2">
      <c r="A440" s="71"/>
      <c r="B440" s="72"/>
      <c r="C440" s="72"/>
      <c r="E440" s="72"/>
      <c r="G440" s="71"/>
    </row>
    <row r="441" spans="1:7" ht="12.75" x14ac:dyDescent="0.2">
      <c r="A441" s="71"/>
      <c r="B441" s="72"/>
      <c r="C441" s="72"/>
      <c r="E441" s="72"/>
      <c r="G441" s="71"/>
    </row>
    <row r="442" spans="1:7" ht="12.75" x14ac:dyDescent="0.2">
      <c r="A442" s="71"/>
      <c r="B442" s="72"/>
      <c r="C442" s="72"/>
      <c r="E442" s="72"/>
      <c r="G442" s="71"/>
    </row>
    <row r="443" spans="1:7" ht="12.75" x14ac:dyDescent="0.2">
      <c r="A443" s="71"/>
      <c r="B443" s="72"/>
      <c r="C443" s="72"/>
      <c r="E443" s="72"/>
      <c r="G443" s="71"/>
    </row>
    <row r="444" spans="1:7" ht="12.75" x14ac:dyDescent="0.2">
      <c r="A444" s="71"/>
      <c r="B444" s="72"/>
      <c r="C444" s="72"/>
      <c r="E444" s="72"/>
      <c r="G444" s="71"/>
    </row>
    <row r="445" spans="1:7" ht="12.75" x14ac:dyDescent="0.2">
      <c r="A445" s="71"/>
      <c r="B445" s="72"/>
      <c r="C445" s="72"/>
      <c r="E445" s="72"/>
      <c r="G445" s="71"/>
    </row>
    <row r="446" spans="1:7" ht="12.75" x14ac:dyDescent="0.2">
      <c r="A446" s="71"/>
      <c r="B446" s="72"/>
      <c r="C446" s="72"/>
      <c r="E446" s="72"/>
      <c r="G446" s="71"/>
    </row>
    <row r="447" spans="1:7" ht="12.75" x14ac:dyDescent="0.2">
      <c r="A447" s="71"/>
      <c r="B447" s="72"/>
      <c r="C447" s="72"/>
      <c r="E447" s="72"/>
      <c r="G447" s="71"/>
    </row>
    <row r="448" spans="1:7" ht="12.75" x14ac:dyDescent="0.2">
      <c r="A448" s="71"/>
      <c r="B448" s="72"/>
      <c r="C448" s="72"/>
      <c r="E448" s="72"/>
      <c r="G448" s="71"/>
    </row>
    <row r="449" spans="1:7" ht="12.75" x14ac:dyDescent="0.2">
      <c r="A449" s="71"/>
      <c r="B449" s="72"/>
      <c r="C449" s="72"/>
      <c r="E449" s="72"/>
      <c r="G449" s="71"/>
    </row>
    <row r="450" spans="1:7" ht="12.75" x14ac:dyDescent="0.2">
      <c r="A450" s="71"/>
      <c r="B450" s="72"/>
      <c r="C450" s="72"/>
      <c r="E450" s="72"/>
      <c r="G450" s="71"/>
    </row>
    <row r="451" spans="1:7" ht="12.75" x14ac:dyDescent="0.2">
      <c r="A451" s="71"/>
      <c r="B451" s="72"/>
      <c r="C451" s="72"/>
      <c r="E451" s="72"/>
      <c r="G451" s="71"/>
    </row>
    <row r="452" spans="1:7" ht="12.75" x14ac:dyDescent="0.2">
      <c r="A452" s="71"/>
      <c r="B452" s="72"/>
      <c r="C452" s="72"/>
      <c r="E452" s="72"/>
      <c r="G452" s="71"/>
    </row>
    <row r="453" spans="1:7" ht="12.75" x14ac:dyDescent="0.2">
      <c r="A453" s="71"/>
      <c r="B453" s="72"/>
      <c r="C453" s="72"/>
      <c r="E453" s="72"/>
      <c r="G453" s="71"/>
    </row>
    <row r="454" spans="1:7" ht="12.75" x14ac:dyDescent="0.2">
      <c r="A454" s="71"/>
      <c r="B454" s="72"/>
      <c r="C454" s="72"/>
      <c r="E454" s="72"/>
      <c r="G454" s="71"/>
    </row>
    <row r="455" spans="1:7" ht="12.75" x14ac:dyDescent="0.2">
      <c r="A455" s="71"/>
      <c r="B455" s="72"/>
      <c r="C455" s="72"/>
      <c r="E455" s="72"/>
      <c r="G455" s="71"/>
    </row>
    <row r="456" spans="1:7" ht="12.75" x14ac:dyDescent="0.2">
      <c r="A456" s="71"/>
      <c r="B456" s="72"/>
      <c r="C456" s="72"/>
      <c r="E456" s="72"/>
      <c r="G456" s="71"/>
    </row>
    <row r="457" spans="1:7" ht="12.75" x14ac:dyDescent="0.2">
      <c r="A457" s="71"/>
      <c r="B457" s="72"/>
      <c r="C457" s="72"/>
      <c r="E457" s="72"/>
      <c r="G457" s="71"/>
    </row>
    <row r="458" spans="1:7" ht="12.75" x14ac:dyDescent="0.2">
      <c r="A458" s="71"/>
      <c r="B458" s="72"/>
      <c r="C458" s="72"/>
      <c r="E458" s="72"/>
      <c r="G458" s="71"/>
    </row>
    <row r="459" spans="1:7" ht="12.75" x14ac:dyDescent="0.2">
      <c r="A459" s="71"/>
      <c r="B459" s="72"/>
      <c r="C459" s="72"/>
      <c r="E459" s="72"/>
      <c r="G459" s="71"/>
    </row>
    <row r="460" spans="1:7" ht="12.75" x14ac:dyDescent="0.2">
      <c r="A460" s="71"/>
      <c r="B460" s="72"/>
      <c r="C460" s="72"/>
      <c r="E460" s="72"/>
      <c r="G460" s="71"/>
    </row>
    <row r="461" spans="1:7" ht="12.75" x14ac:dyDescent="0.2">
      <c r="A461" s="71"/>
      <c r="B461" s="72"/>
      <c r="C461" s="72"/>
      <c r="E461" s="72"/>
      <c r="G461" s="71"/>
    </row>
    <row r="462" spans="1:7" ht="12.75" x14ac:dyDescent="0.2">
      <c r="A462" s="71"/>
      <c r="B462" s="72"/>
      <c r="C462" s="72"/>
      <c r="E462" s="72"/>
      <c r="G462" s="71"/>
    </row>
    <row r="463" spans="1:7" ht="12.75" x14ac:dyDescent="0.2">
      <c r="A463" s="71"/>
      <c r="B463" s="72"/>
      <c r="C463" s="72"/>
      <c r="E463" s="72"/>
      <c r="G463" s="71"/>
    </row>
    <row r="464" spans="1:7" ht="12.75" x14ac:dyDescent="0.2">
      <c r="A464" s="71"/>
      <c r="B464" s="72"/>
      <c r="C464" s="72"/>
      <c r="E464" s="72"/>
      <c r="G464" s="71"/>
    </row>
    <row r="465" spans="1:7" ht="12.75" x14ac:dyDescent="0.2">
      <c r="A465" s="71"/>
      <c r="B465" s="72"/>
      <c r="C465" s="72"/>
      <c r="E465" s="72"/>
      <c r="G465" s="71"/>
    </row>
    <row r="466" spans="1:7" ht="12.75" x14ac:dyDescent="0.2">
      <c r="A466" s="71"/>
      <c r="B466" s="72"/>
      <c r="C466" s="72"/>
      <c r="E466" s="72"/>
      <c r="G466" s="71"/>
    </row>
    <row r="467" spans="1:7" ht="12.75" x14ac:dyDescent="0.2">
      <c r="A467" s="71"/>
      <c r="B467" s="72"/>
      <c r="C467" s="72"/>
      <c r="E467" s="72"/>
      <c r="G467" s="71"/>
    </row>
    <row r="468" spans="1:7" ht="12.75" x14ac:dyDescent="0.2">
      <c r="A468" s="71"/>
      <c r="B468" s="72"/>
      <c r="C468" s="72"/>
      <c r="E468" s="72"/>
      <c r="G468" s="71"/>
    </row>
    <row r="469" spans="1:7" ht="12.75" x14ac:dyDescent="0.2">
      <c r="A469" s="71"/>
      <c r="B469" s="72"/>
      <c r="C469" s="72"/>
      <c r="E469" s="72"/>
      <c r="G469" s="71"/>
    </row>
    <row r="470" spans="1:7" ht="12.75" x14ac:dyDescent="0.2">
      <c r="A470" s="71"/>
      <c r="B470" s="72"/>
      <c r="C470" s="72"/>
      <c r="E470" s="72"/>
      <c r="G470" s="71"/>
    </row>
    <row r="471" spans="1:7" ht="12.75" x14ac:dyDescent="0.2">
      <c r="A471" s="71"/>
      <c r="B471" s="72"/>
      <c r="C471" s="72"/>
      <c r="E471" s="72"/>
      <c r="G471" s="71"/>
    </row>
    <row r="472" spans="1:7" ht="12.75" x14ac:dyDescent="0.2">
      <c r="A472" s="71"/>
      <c r="B472" s="72"/>
      <c r="C472" s="72"/>
      <c r="E472" s="72"/>
      <c r="G472" s="71"/>
    </row>
    <row r="473" spans="1:7" ht="12.75" x14ac:dyDescent="0.2">
      <c r="A473" s="71"/>
      <c r="B473" s="72"/>
      <c r="C473" s="72"/>
      <c r="E473" s="72"/>
      <c r="G473" s="71"/>
    </row>
    <row r="474" spans="1:7" ht="12.75" x14ac:dyDescent="0.2">
      <c r="A474" s="71"/>
      <c r="B474" s="72"/>
      <c r="C474" s="72"/>
      <c r="E474" s="72"/>
      <c r="G474" s="71"/>
    </row>
    <row r="475" spans="1:7" ht="12.75" x14ac:dyDescent="0.2">
      <c r="A475" s="71"/>
      <c r="B475" s="72"/>
      <c r="C475" s="72"/>
      <c r="E475" s="72"/>
      <c r="G475" s="71"/>
    </row>
    <row r="476" spans="1:7" ht="12.75" x14ac:dyDescent="0.2">
      <c r="A476" s="71"/>
      <c r="B476" s="72"/>
      <c r="C476" s="72"/>
      <c r="E476" s="72"/>
      <c r="G476" s="71"/>
    </row>
    <row r="477" spans="1:7" ht="12.75" x14ac:dyDescent="0.2">
      <c r="A477" s="71"/>
      <c r="B477" s="72"/>
      <c r="C477" s="72"/>
      <c r="E477" s="72"/>
      <c r="G477" s="71"/>
    </row>
    <row r="478" spans="1:7" ht="12.75" x14ac:dyDescent="0.2">
      <c r="A478" s="71"/>
      <c r="B478" s="72"/>
      <c r="C478" s="72"/>
      <c r="E478" s="72"/>
      <c r="G478" s="71"/>
    </row>
    <row r="479" spans="1:7" ht="12.75" x14ac:dyDescent="0.2">
      <c r="A479" s="71"/>
      <c r="B479" s="72"/>
      <c r="C479" s="72"/>
      <c r="E479" s="72"/>
      <c r="G479" s="71"/>
    </row>
    <row r="480" spans="1:7" ht="12.75" x14ac:dyDescent="0.2">
      <c r="A480" s="71"/>
      <c r="B480" s="72"/>
      <c r="C480" s="72"/>
      <c r="E480" s="72"/>
      <c r="G480" s="71"/>
    </row>
    <row r="481" spans="1:7" ht="12.75" x14ac:dyDescent="0.2">
      <c r="A481" s="71"/>
      <c r="B481" s="72"/>
      <c r="C481" s="72"/>
      <c r="E481" s="72"/>
      <c r="G481" s="71"/>
    </row>
    <row r="482" spans="1:7" ht="12.75" x14ac:dyDescent="0.2">
      <c r="A482" s="71"/>
      <c r="B482" s="72"/>
      <c r="C482" s="72"/>
      <c r="E482" s="72"/>
      <c r="G482" s="71"/>
    </row>
    <row r="483" spans="1:7" ht="12.75" x14ac:dyDescent="0.2">
      <c r="A483" s="71"/>
      <c r="B483" s="72"/>
      <c r="C483" s="72"/>
      <c r="E483" s="72"/>
      <c r="G483" s="71"/>
    </row>
    <row r="484" spans="1:7" ht="12.75" x14ac:dyDescent="0.2">
      <c r="A484" s="71"/>
      <c r="B484" s="72"/>
      <c r="C484" s="72"/>
      <c r="E484" s="72"/>
      <c r="G484" s="71"/>
    </row>
    <row r="485" spans="1:7" ht="12.75" x14ac:dyDescent="0.2">
      <c r="A485" s="71"/>
      <c r="B485" s="72"/>
      <c r="C485" s="72"/>
      <c r="E485" s="72"/>
      <c r="G485" s="71"/>
    </row>
    <row r="486" spans="1:7" ht="12.75" x14ac:dyDescent="0.2">
      <c r="A486" s="71"/>
      <c r="B486" s="72"/>
      <c r="C486" s="72"/>
      <c r="E486" s="72"/>
      <c r="G486" s="71"/>
    </row>
    <row r="487" spans="1:7" ht="12.75" x14ac:dyDescent="0.2">
      <c r="A487" s="71"/>
      <c r="B487" s="72"/>
      <c r="C487" s="72"/>
      <c r="E487" s="72"/>
      <c r="G487" s="71"/>
    </row>
    <row r="488" spans="1:7" ht="12.75" x14ac:dyDescent="0.2">
      <c r="A488" s="71"/>
      <c r="B488" s="72"/>
      <c r="C488" s="72"/>
      <c r="E488" s="72"/>
      <c r="G488" s="71"/>
    </row>
    <row r="489" spans="1:7" ht="12.75" x14ac:dyDescent="0.2">
      <c r="A489" s="71"/>
      <c r="B489" s="72"/>
      <c r="C489" s="72"/>
      <c r="E489" s="72"/>
      <c r="G489" s="71"/>
    </row>
    <row r="490" spans="1:7" ht="12.75" x14ac:dyDescent="0.2">
      <c r="A490" s="71"/>
      <c r="B490" s="72"/>
      <c r="C490" s="72"/>
      <c r="E490" s="72"/>
      <c r="G490" s="71"/>
    </row>
    <row r="491" spans="1:7" ht="12.75" x14ac:dyDescent="0.2">
      <c r="A491" s="71"/>
      <c r="B491" s="72"/>
      <c r="C491" s="72"/>
      <c r="E491" s="72"/>
      <c r="G491" s="71"/>
    </row>
    <row r="492" spans="1:7" ht="12.75" x14ac:dyDescent="0.2">
      <c r="A492" s="71"/>
      <c r="B492" s="72"/>
      <c r="C492" s="72"/>
      <c r="E492" s="72"/>
      <c r="G492" s="71"/>
    </row>
    <row r="493" spans="1:7" ht="12.75" x14ac:dyDescent="0.2">
      <c r="A493" s="71"/>
      <c r="B493" s="72"/>
      <c r="C493" s="72"/>
      <c r="E493" s="72"/>
      <c r="G493" s="71"/>
    </row>
    <row r="494" spans="1:7" ht="12.75" x14ac:dyDescent="0.2">
      <c r="A494" s="71"/>
      <c r="B494" s="72"/>
      <c r="C494" s="72"/>
      <c r="E494" s="72"/>
      <c r="G494" s="71"/>
    </row>
    <row r="495" spans="1:7" ht="12.75" x14ac:dyDescent="0.2">
      <c r="A495" s="71"/>
      <c r="B495" s="72"/>
      <c r="C495" s="72"/>
      <c r="E495" s="72"/>
      <c r="G495" s="71"/>
    </row>
    <row r="496" spans="1:7" ht="12.75" x14ac:dyDescent="0.2">
      <c r="A496" s="71"/>
      <c r="B496" s="72"/>
      <c r="C496" s="72"/>
      <c r="E496" s="72"/>
      <c r="G496" s="71"/>
    </row>
    <row r="497" spans="1:7" ht="12.75" x14ac:dyDescent="0.2">
      <c r="A497" s="71"/>
      <c r="B497" s="72"/>
      <c r="C497" s="72"/>
      <c r="E497" s="72"/>
      <c r="G497" s="71"/>
    </row>
    <row r="498" spans="1:7" ht="12.75" x14ac:dyDescent="0.2">
      <c r="A498" s="71"/>
      <c r="B498" s="72"/>
      <c r="C498" s="72"/>
      <c r="E498" s="72"/>
      <c r="G498" s="71"/>
    </row>
    <row r="499" spans="1:7" ht="12.75" x14ac:dyDescent="0.2">
      <c r="A499" s="71"/>
      <c r="B499" s="72"/>
      <c r="C499" s="72"/>
      <c r="E499" s="72"/>
      <c r="G499" s="71"/>
    </row>
    <row r="500" spans="1:7" ht="12.75" x14ac:dyDescent="0.2">
      <c r="A500" s="71"/>
      <c r="B500" s="72"/>
      <c r="C500" s="72"/>
      <c r="E500" s="72"/>
      <c r="G500" s="71"/>
    </row>
    <row r="501" spans="1:7" ht="12.75" x14ac:dyDescent="0.2">
      <c r="A501" s="71"/>
      <c r="B501" s="72"/>
      <c r="C501" s="72"/>
      <c r="E501" s="72"/>
      <c r="G501" s="71"/>
    </row>
    <row r="502" spans="1:7" ht="12.75" x14ac:dyDescent="0.2">
      <c r="A502" s="71"/>
      <c r="B502" s="72"/>
      <c r="C502" s="72"/>
      <c r="E502" s="72"/>
      <c r="G502" s="71"/>
    </row>
    <row r="503" spans="1:7" ht="12.75" x14ac:dyDescent="0.2">
      <c r="A503" s="71"/>
      <c r="B503" s="72"/>
      <c r="C503" s="72"/>
      <c r="E503" s="72"/>
      <c r="G503" s="71"/>
    </row>
    <row r="504" spans="1:7" ht="12.75" x14ac:dyDescent="0.2">
      <c r="A504" s="71"/>
      <c r="B504" s="72"/>
      <c r="C504" s="72"/>
      <c r="E504" s="72"/>
      <c r="G504" s="71"/>
    </row>
    <row r="505" spans="1:7" ht="12.75" x14ac:dyDescent="0.2">
      <c r="A505" s="71"/>
      <c r="B505" s="72"/>
      <c r="C505" s="72"/>
      <c r="E505" s="72"/>
      <c r="G505" s="71"/>
    </row>
    <row r="506" spans="1:7" ht="12.75" x14ac:dyDescent="0.2">
      <c r="A506" s="71"/>
      <c r="B506" s="72"/>
      <c r="C506" s="72"/>
      <c r="E506" s="72"/>
      <c r="G506" s="71"/>
    </row>
    <row r="507" spans="1:7" ht="12.75" x14ac:dyDescent="0.2">
      <c r="A507" s="71"/>
      <c r="B507" s="72"/>
      <c r="C507" s="72"/>
      <c r="E507" s="72"/>
      <c r="G507" s="71"/>
    </row>
    <row r="508" spans="1:7" ht="12.75" x14ac:dyDescent="0.2">
      <c r="A508" s="71"/>
      <c r="B508" s="72"/>
      <c r="C508" s="72"/>
      <c r="E508" s="72"/>
      <c r="G508" s="71"/>
    </row>
    <row r="509" spans="1:7" ht="12.75" x14ac:dyDescent="0.2">
      <c r="A509" s="71"/>
      <c r="B509" s="72"/>
      <c r="C509" s="72"/>
      <c r="E509" s="72"/>
      <c r="G509" s="71"/>
    </row>
    <row r="510" spans="1:7" ht="12.75" x14ac:dyDescent="0.2">
      <c r="A510" s="71"/>
      <c r="B510" s="72"/>
      <c r="C510" s="72"/>
      <c r="E510" s="72"/>
      <c r="G510" s="71"/>
    </row>
    <row r="511" spans="1:7" ht="12.75" x14ac:dyDescent="0.2">
      <c r="A511" s="71"/>
      <c r="B511" s="72"/>
      <c r="C511" s="72"/>
      <c r="E511" s="72"/>
      <c r="G511" s="71"/>
    </row>
    <row r="512" spans="1:7" ht="12.75" x14ac:dyDescent="0.2">
      <c r="A512" s="71"/>
      <c r="B512" s="72"/>
      <c r="C512" s="72"/>
      <c r="E512" s="72"/>
      <c r="G512" s="71"/>
    </row>
    <row r="513" spans="1:7" ht="12.75" x14ac:dyDescent="0.2">
      <c r="A513" s="71"/>
      <c r="B513" s="72"/>
      <c r="C513" s="72"/>
      <c r="E513" s="72"/>
      <c r="G513" s="71"/>
    </row>
    <row r="514" spans="1:7" ht="12.75" x14ac:dyDescent="0.2">
      <c r="A514" s="71"/>
      <c r="B514" s="72"/>
      <c r="C514" s="72"/>
      <c r="E514" s="72"/>
      <c r="G514" s="71"/>
    </row>
    <row r="515" spans="1:7" ht="12.75" x14ac:dyDescent="0.2">
      <c r="A515" s="71"/>
      <c r="B515" s="72"/>
      <c r="C515" s="72"/>
      <c r="E515" s="72"/>
      <c r="G515" s="71"/>
    </row>
    <row r="516" spans="1:7" ht="12.75" x14ac:dyDescent="0.2">
      <c r="A516" s="71"/>
      <c r="B516" s="72"/>
      <c r="C516" s="72"/>
      <c r="E516" s="72"/>
      <c r="G516" s="71"/>
    </row>
    <row r="517" spans="1:7" ht="12.75" x14ac:dyDescent="0.2">
      <c r="A517" s="71"/>
      <c r="B517" s="72"/>
      <c r="C517" s="72"/>
      <c r="E517" s="72"/>
      <c r="G517" s="71"/>
    </row>
    <row r="518" spans="1:7" ht="12.75" x14ac:dyDescent="0.2">
      <c r="A518" s="71"/>
      <c r="B518" s="72"/>
      <c r="C518" s="72"/>
      <c r="E518" s="72"/>
      <c r="G518" s="71"/>
    </row>
    <row r="519" spans="1:7" ht="12.75" x14ac:dyDescent="0.2">
      <c r="A519" s="71"/>
      <c r="B519" s="72"/>
      <c r="C519" s="72"/>
      <c r="E519" s="72"/>
      <c r="G519" s="71"/>
    </row>
    <row r="520" spans="1:7" ht="12.75" x14ac:dyDescent="0.2">
      <c r="A520" s="71"/>
      <c r="B520" s="72"/>
      <c r="C520" s="72"/>
      <c r="E520" s="72"/>
      <c r="G520" s="71"/>
    </row>
    <row r="521" spans="1:7" ht="12.75" x14ac:dyDescent="0.2">
      <c r="A521" s="71"/>
      <c r="B521" s="72"/>
      <c r="C521" s="72"/>
      <c r="E521" s="72"/>
      <c r="G521" s="71"/>
    </row>
    <row r="522" spans="1:7" ht="12.75" x14ac:dyDescent="0.2">
      <c r="A522" s="71"/>
      <c r="B522" s="72"/>
      <c r="C522" s="72"/>
      <c r="E522" s="72"/>
      <c r="G522" s="71"/>
    </row>
    <row r="523" spans="1:7" ht="12.75" x14ac:dyDescent="0.2">
      <c r="A523" s="71"/>
      <c r="B523" s="72"/>
      <c r="C523" s="72"/>
      <c r="E523" s="72"/>
      <c r="G523" s="71"/>
    </row>
    <row r="524" spans="1:7" ht="12.75" x14ac:dyDescent="0.2">
      <c r="A524" s="71"/>
      <c r="B524" s="72"/>
      <c r="C524" s="72"/>
      <c r="E524" s="72"/>
      <c r="G524" s="71"/>
    </row>
    <row r="525" spans="1:7" ht="12.75" x14ac:dyDescent="0.2">
      <c r="A525" s="71"/>
      <c r="B525" s="72"/>
      <c r="C525" s="72"/>
      <c r="E525" s="72"/>
      <c r="G525" s="71"/>
    </row>
    <row r="526" spans="1:7" ht="12.75" x14ac:dyDescent="0.2">
      <c r="A526" s="71"/>
      <c r="B526" s="72"/>
      <c r="C526" s="72"/>
      <c r="E526" s="72"/>
      <c r="G526" s="71"/>
    </row>
    <row r="527" spans="1:7" ht="12.75" x14ac:dyDescent="0.2">
      <c r="A527" s="71"/>
      <c r="B527" s="72"/>
      <c r="C527" s="72"/>
      <c r="E527" s="72"/>
      <c r="G527" s="71"/>
    </row>
    <row r="528" spans="1:7" ht="12.75" x14ac:dyDescent="0.2">
      <c r="A528" s="71"/>
      <c r="B528" s="72"/>
      <c r="C528" s="72"/>
      <c r="E528" s="72"/>
      <c r="G528" s="71"/>
    </row>
    <row r="529" spans="1:7" ht="12.75" x14ac:dyDescent="0.2">
      <c r="A529" s="71"/>
      <c r="B529" s="72"/>
      <c r="C529" s="72"/>
      <c r="E529" s="72"/>
      <c r="G529" s="71"/>
    </row>
    <row r="530" spans="1:7" ht="12.75" x14ac:dyDescent="0.2">
      <c r="A530" s="71"/>
      <c r="B530" s="72"/>
      <c r="C530" s="72"/>
      <c r="E530" s="72"/>
      <c r="G530" s="71"/>
    </row>
    <row r="531" spans="1:7" ht="12.75" x14ac:dyDescent="0.2">
      <c r="A531" s="71"/>
      <c r="B531" s="72"/>
      <c r="C531" s="72"/>
      <c r="E531" s="72"/>
      <c r="G531" s="71"/>
    </row>
    <row r="532" spans="1:7" ht="12.75" x14ac:dyDescent="0.2">
      <c r="A532" s="71"/>
      <c r="B532" s="72"/>
      <c r="C532" s="72"/>
      <c r="E532" s="72"/>
      <c r="G532" s="71"/>
    </row>
    <row r="533" spans="1:7" ht="12.75" x14ac:dyDescent="0.2">
      <c r="A533" s="71"/>
      <c r="B533" s="72"/>
      <c r="C533" s="72"/>
      <c r="E533" s="72"/>
      <c r="G533" s="71"/>
    </row>
    <row r="534" spans="1:7" ht="12.75" x14ac:dyDescent="0.2">
      <c r="A534" s="71"/>
      <c r="B534" s="72"/>
      <c r="C534" s="72"/>
      <c r="E534" s="72"/>
      <c r="G534" s="71"/>
    </row>
    <row r="535" spans="1:7" ht="12.75" x14ac:dyDescent="0.2">
      <c r="A535" s="71"/>
      <c r="B535" s="72"/>
      <c r="C535" s="72"/>
      <c r="E535" s="72"/>
      <c r="G535" s="71"/>
    </row>
    <row r="536" spans="1:7" ht="12.75" x14ac:dyDescent="0.2">
      <c r="A536" s="71"/>
      <c r="B536" s="72"/>
      <c r="C536" s="72"/>
      <c r="E536" s="72"/>
      <c r="G536" s="71"/>
    </row>
    <row r="537" spans="1:7" ht="12.75" x14ac:dyDescent="0.2">
      <c r="A537" s="71"/>
      <c r="B537" s="72"/>
      <c r="C537" s="72"/>
      <c r="E537" s="72"/>
      <c r="G537" s="71"/>
    </row>
    <row r="538" spans="1:7" ht="12.75" x14ac:dyDescent="0.2">
      <c r="A538" s="71"/>
      <c r="B538" s="72"/>
      <c r="C538" s="72"/>
      <c r="E538" s="72"/>
      <c r="G538" s="71"/>
    </row>
    <row r="539" spans="1:7" ht="12.75" x14ac:dyDescent="0.2">
      <c r="A539" s="71"/>
      <c r="B539" s="72"/>
      <c r="C539" s="72"/>
      <c r="E539" s="72"/>
      <c r="G539" s="71"/>
    </row>
    <row r="540" spans="1:7" ht="12.75" x14ac:dyDescent="0.2">
      <c r="A540" s="71"/>
      <c r="B540" s="72"/>
      <c r="C540" s="72"/>
      <c r="E540" s="72"/>
      <c r="G540" s="71"/>
    </row>
    <row r="541" spans="1:7" ht="12.75" x14ac:dyDescent="0.2">
      <c r="A541" s="71"/>
      <c r="B541" s="72"/>
      <c r="C541" s="72"/>
      <c r="E541" s="72"/>
      <c r="G541" s="71"/>
    </row>
    <row r="542" spans="1:7" ht="12.75" x14ac:dyDescent="0.2">
      <c r="A542" s="71"/>
      <c r="B542" s="72"/>
      <c r="C542" s="72"/>
      <c r="E542" s="72"/>
      <c r="G542" s="71"/>
    </row>
    <row r="543" spans="1:7" ht="12.75" x14ac:dyDescent="0.2">
      <c r="A543" s="71"/>
      <c r="B543" s="72"/>
      <c r="C543" s="72"/>
      <c r="E543" s="72"/>
      <c r="G543" s="71"/>
    </row>
    <row r="544" spans="1:7" ht="12.75" x14ac:dyDescent="0.2">
      <c r="A544" s="71"/>
      <c r="B544" s="72"/>
      <c r="C544" s="72"/>
      <c r="E544" s="72"/>
      <c r="G544" s="71"/>
    </row>
    <row r="545" spans="1:7" ht="12.75" x14ac:dyDescent="0.2">
      <c r="A545" s="71"/>
      <c r="B545" s="72"/>
      <c r="C545" s="72"/>
      <c r="E545" s="72"/>
      <c r="G545" s="71"/>
    </row>
    <row r="546" spans="1:7" ht="12.75" x14ac:dyDescent="0.2">
      <c r="A546" s="71"/>
      <c r="B546" s="72"/>
      <c r="C546" s="72"/>
      <c r="E546" s="72"/>
      <c r="G546" s="71"/>
    </row>
    <row r="547" spans="1:7" ht="12.75" x14ac:dyDescent="0.2">
      <c r="A547" s="71"/>
      <c r="B547" s="72"/>
      <c r="C547" s="72"/>
      <c r="E547" s="72"/>
      <c r="G547" s="71"/>
    </row>
    <row r="548" spans="1:7" ht="12.75" x14ac:dyDescent="0.2">
      <c r="A548" s="71"/>
      <c r="B548" s="72"/>
      <c r="C548" s="72"/>
      <c r="E548" s="72"/>
      <c r="G548" s="71"/>
    </row>
    <row r="549" spans="1:7" ht="12.75" x14ac:dyDescent="0.2">
      <c r="A549" s="71"/>
      <c r="B549" s="72"/>
      <c r="C549" s="72"/>
      <c r="E549" s="72"/>
      <c r="G549" s="71"/>
    </row>
    <row r="550" spans="1:7" ht="12.75" x14ac:dyDescent="0.2">
      <c r="A550" s="71"/>
      <c r="B550" s="72"/>
      <c r="C550" s="72"/>
      <c r="E550" s="72"/>
      <c r="G550" s="71"/>
    </row>
    <row r="551" spans="1:7" ht="12.75" x14ac:dyDescent="0.2">
      <c r="A551" s="71"/>
      <c r="B551" s="72"/>
      <c r="C551" s="72"/>
      <c r="E551" s="72"/>
      <c r="G551" s="71"/>
    </row>
    <row r="552" spans="1:7" ht="12.75" x14ac:dyDescent="0.2">
      <c r="A552" s="71"/>
      <c r="B552" s="72"/>
      <c r="C552" s="72"/>
      <c r="E552" s="72"/>
      <c r="G552" s="71"/>
    </row>
    <row r="553" spans="1:7" ht="12.75" x14ac:dyDescent="0.2">
      <c r="A553" s="71"/>
      <c r="B553" s="72"/>
      <c r="C553" s="72"/>
      <c r="E553" s="72"/>
      <c r="G553" s="71"/>
    </row>
    <row r="554" spans="1:7" ht="12.75" x14ac:dyDescent="0.2">
      <c r="A554" s="71"/>
      <c r="B554" s="72"/>
      <c r="C554" s="72"/>
      <c r="E554" s="72"/>
      <c r="G554" s="71"/>
    </row>
    <row r="555" spans="1:7" ht="12.75" x14ac:dyDescent="0.2">
      <c r="A555" s="71"/>
      <c r="B555" s="72"/>
      <c r="C555" s="72"/>
      <c r="E555" s="72"/>
      <c r="G555" s="71"/>
    </row>
    <row r="556" spans="1:7" ht="12.75" x14ac:dyDescent="0.2">
      <c r="A556" s="71"/>
      <c r="B556" s="72"/>
      <c r="C556" s="72"/>
      <c r="E556" s="72"/>
      <c r="G556" s="71"/>
    </row>
    <row r="557" spans="1:7" ht="12.75" x14ac:dyDescent="0.2">
      <c r="A557" s="71"/>
      <c r="B557" s="72"/>
      <c r="C557" s="72"/>
      <c r="E557" s="72"/>
      <c r="G557" s="71"/>
    </row>
    <row r="558" spans="1:7" ht="12.75" x14ac:dyDescent="0.2">
      <c r="A558" s="71"/>
      <c r="B558" s="72"/>
      <c r="C558" s="72"/>
      <c r="E558" s="72"/>
      <c r="G558" s="71"/>
    </row>
    <row r="559" spans="1:7" ht="12.75" x14ac:dyDescent="0.2">
      <c r="A559" s="71"/>
      <c r="B559" s="72"/>
      <c r="C559" s="72"/>
      <c r="E559" s="72"/>
      <c r="G559" s="71"/>
    </row>
    <row r="560" spans="1:7" ht="12.75" x14ac:dyDescent="0.2">
      <c r="A560" s="71"/>
      <c r="B560" s="72"/>
      <c r="C560" s="72"/>
      <c r="E560" s="72"/>
      <c r="G560" s="71"/>
    </row>
    <row r="561" spans="1:7" ht="12.75" x14ac:dyDescent="0.2">
      <c r="A561" s="71"/>
      <c r="B561" s="72"/>
      <c r="C561" s="72"/>
      <c r="E561" s="72"/>
      <c r="G561" s="71"/>
    </row>
    <row r="562" spans="1:7" ht="12.75" x14ac:dyDescent="0.2">
      <c r="A562" s="71"/>
      <c r="B562" s="72"/>
      <c r="C562" s="72"/>
      <c r="E562" s="72"/>
      <c r="G562" s="71"/>
    </row>
    <row r="563" spans="1:7" ht="12.75" x14ac:dyDescent="0.2">
      <c r="A563" s="71"/>
      <c r="B563" s="72"/>
      <c r="C563" s="72"/>
      <c r="E563" s="72"/>
      <c r="G563" s="71"/>
    </row>
    <row r="564" spans="1:7" ht="12.75" x14ac:dyDescent="0.2">
      <c r="A564" s="71"/>
      <c r="B564" s="72"/>
      <c r="C564" s="72"/>
      <c r="E564" s="72"/>
      <c r="G564" s="71"/>
    </row>
    <row r="565" spans="1:7" ht="12.75" x14ac:dyDescent="0.2">
      <c r="A565" s="71"/>
      <c r="B565" s="72"/>
      <c r="C565" s="72"/>
      <c r="E565" s="72"/>
      <c r="G565" s="71"/>
    </row>
    <row r="566" spans="1:7" ht="12.75" x14ac:dyDescent="0.2">
      <c r="A566" s="71"/>
      <c r="B566" s="72"/>
      <c r="C566" s="72"/>
      <c r="E566" s="72"/>
      <c r="G566" s="71"/>
    </row>
    <row r="567" spans="1:7" ht="12.75" x14ac:dyDescent="0.2">
      <c r="A567" s="71"/>
      <c r="B567" s="72"/>
      <c r="C567" s="72"/>
      <c r="E567" s="72"/>
      <c r="G567" s="71"/>
    </row>
    <row r="568" spans="1:7" ht="12.75" x14ac:dyDescent="0.2">
      <c r="A568" s="71"/>
      <c r="B568" s="72"/>
      <c r="C568" s="72"/>
      <c r="E568" s="72"/>
      <c r="G568" s="71"/>
    </row>
    <row r="569" spans="1:7" ht="12.75" x14ac:dyDescent="0.2">
      <c r="A569" s="71"/>
      <c r="B569" s="72"/>
      <c r="C569" s="72"/>
      <c r="E569" s="72"/>
      <c r="G569" s="71"/>
    </row>
    <row r="570" spans="1:7" ht="12.75" x14ac:dyDescent="0.2">
      <c r="A570" s="71"/>
      <c r="B570" s="72"/>
      <c r="C570" s="72"/>
      <c r="E570" s="72"/>
      <c r="G570" s="71"/>
    </row>
    <row r="571" spans="1:7" ht="12.75" x14ac:dyDescent="0.2">
      <c r="A571" s="71"/>
      <c r="B571" s="72"/>
      <c r="C571" s="72"/>
      <c r="E571" s="72"/>
      <c r="G571" s="71"/>
    </row>
    <row r="572" spans="1:7" ht="12.75" x14ac:dyDescent="0.2">
      <c r="A572" s="71"/>
      <c r="B572" s="72"/>
      <c r="C572" s="72"/>
      <c r="E572" s="72"/>
      <c r="G572" s="71"/>
    </row>
    <row r="573" spans="1:7" ht="12.75" x14ac:dyDescent="0.2">
      <c r="A573" s="71"/>
      <c r="B573" s="72"/>
      <c r="C573" s="72"/>
      <c r="E573" s="72"/>
      <c r="G573" s="71"/>
    </row>
    <row r="574" spans="1:7" ht="12.75" x14ac:dyDescent="0.2">
      <c r="A574" s="71"/>
      <c r="B574" s="72"/>
      <c r="C574" s="72"/>
      <c r="E574" s="72"/>
      <c r="G574" s="71"/>
    </row>
    <row r="575" spans="1:7" ht="12.75" x14ac:dyDescent="0.2">
      <c r="A575" s="71"/>
      <c r="B575" s="72"/>
      <c r="C575" s="72"/>
      <c r="E575" s="72"/>
      <c r="G575" s="71"/>
    </row>
    <row r="576" spans="1:7" ht="12.75" x14ac:dyDescent="0.2">
      <c r="A576" s="71"/>
      <c r="B576" s="72"/>
      <c r="C576" s="72"/>
      <c r="E576" s="72"/>
      <c r="G576" s="71"/>
    </row>
    <row r="577" spans="1:7" ht="12.75" x14ac:dyDescent="0.2">
      <c r="A577" s="71"/>
      <c r="B577" s="72"/>
      <c r="C577" s="72"/>
      <c r="E577" s="72"/>
      <c r="G577" s="71"/>
    </row>
    <row r="578" spans="1:7" ht="12.75" x14ac:dyDescent="0.2">
      <c r="A578" s="71"/>
      <c r="B578" s="72"/>
      <c r="C578" s="72"/>
      <c r="E578" s="72"/>
      <c r="G578" s="71"/>
    </row>
    <row r="579" spans="1:7" ht="12.75" x14ac:dyDescent="0.2">
      <c r="A579" s="71"/>
      <c r="B579" s="72"/>
      <c r="C579" s="72"/>
      <c r="E579" s="72"/>
      <c r="G579" s="71"/>
    </row>
    <row r="580" spans="1:7" ht="12.75" x14ac:dyDescent="0.2">
      <c r="A580" s="71"/>
      <c r="B580" s="72"/>
      <c r="C580" s="72"/>
      <c r="E580" s="72"/>
      <c r="G580" s="71"/>
    </row>
    <row r="581" spans="1:7" ht="12.75" x14ac:dyDescent="0.2">
      <c r="A581" s="71"/>
      <c r="B581" s="72"/>
      <c r="C581" s="72"/>
      <c r="E581" s="72"/>
      <c r="G581" s="71"/>
    </row>
    <row r="582" spans="1:7" ht="12.75" x14ac:dyDescent="0.2">
      <c r="A582" s="71"/>
      <c r="B582" s="72"/>
      <c r="C582" s="72"/>
      <c r="E582" s="72"/>
      <c r="G582" s="71"/>
    </row>
    <row r="583" spans="1:7" ht="12.75" x14ac:dyDescent="0.2">
      <c r="A583" s="71"/>
      <c r="B583" s="72"/>
      <c r="C583" s="72"/>
      <c r="E583" s="72"/>
      <c r="G583" s="71"/>
    </row>
    <row r="584" spans="1:7" ht="12.75" x14ac:dyDescent="0.2">
      <c r="A584" s="71"/>
      <c r="B584" s="72"/>
      <c r="C584" s="72"/>
      <c r="E584" s="72"/>
      <c r="G584" s="71"/>
    </row>
    <row r="585" spans="1:7" ht="12.75" x14ac:dyDescent="0.2">
      <c r="A585" s="71"/>
      <c r="B585" s="72"/>
      <c r="C585" s="72"/>
      <c r="E585" s="72"/>
      <c r="G585" s="71"/>
    </row>
    <row r="586" spans="1:7" ht="12.75" x14ac:dyDescent="0.2">
      <c r="A586" s="71"/>
      <c r="B586" s="72"/>
      <c r="C586" s="72"/>
      <c r="E586" s="72"/>
      <c r="G586" s="71"/>
    </row>
    <row r="587" spans="1:7" ht="12.75" x14ac:dyDescent="0.2">
      <c r="A587" s="71"/>
      <c r="B587" s="72"/>
      <c r="C587" s="72"/>
      <c r="E587" s="72"/>
      <c r="G587" s="71"/>
    </row>
    <row r="588" spans="1:7" ht="12.75" x14ac:dyDescent="0.2">
      <c r="A588" s="71"/>
      <c r="B588" s="72"/>
      <c r="C588" s="72"/>
      <c r="E588" s="72"/>
      <c r="G588" s="71"/>
    </row>
    <row r="589" spans="1:7" ht="12.75" x14ac:dyDescent="0.2">
      <c r="A589" s="71"/>
      <c r="B589" s="72"/>
      <c r="C589" s="72"/>
      <c r="E589" s="72"/>
      <c r="G589" s="71"/>
    </row>
    <row r="590" spans="1:7" ht="12.75" x14ac:dyDescent="0.2">
      <c r="A590" s="71"/>
      <c r="B590" s="72"/>
      <c r="C590" s="72"/>
      <c r="E590" s="72"/>
      <c r="G590" s="71"/>
    </row>
    <row r="591" spans="1:7" ht="12.75" x14ac:dyDescent="0.2">
      <c r="A591" s="71"/>
      <c r="B591" s="72"/>
      <c r="C591" s="72"/>
      <c r="E591" s="72"/>
      <c r="G591" s="71"/>
    </row>
    <row r="592" spans="1:7" ht="12.75" x14ac:dyDescent="0.2">
      <c r="A592" s="71"/>
      <c r="B592" s="72"/>
      <c r="C592" s="72"/>
      <c r="E592" s="72"/>
      <c r="G592" s="71"/>
    </row>
    <row r="593" spans="1:7" ht="12.75" x14ac:dyDescent="0.2">
      <c r="A593" s="71"/>
      <c r="B593" s="72"/>
      <c r="C593" s="72"/>
      <c r="E593" s="72"/>
      <c r="G593" s="71"/>
    </row>
    <row r="594" spans="1:7" ht="12.75" x14ac:dyDescent="0.2">
      <c r="A594" s="71"/>
      <c r="B594" s="72"/>
      <c r="C594" s="72"/>
      <c r="E594" s="72"/>
      <c r="G594" s="71"/>
    </row>
    <row r="595" spans="1:7" ht="12.75" x14ac:dyDescent="0.2">
      <c r="A595" s="71"/>
      <c r="B595" s="72"/>
      <c r="C595" s="72"/>
      <c r="E595" s="72"/>
      <c r="G595" s="71"/>
    </row>
    <row r="596" spans="1:7" ht="12.75" x14ac:dyDescent="0.2">
      <c r="A596" s="71"/>
      <c r="B596" s="72"/>
      <c r="C596" s="72"/>
      <c r="E596" s="72"/>
      <c r="G596" s="71"/>
    </row>
    <row r="597" spans="1:7" ht="12.75" x14ac:dyDescent="0.2">
      <c r="A597" s="71"/>
      <c r="B597" s="72"/>
      <c r="C597" s="72"/>
      <c r="E597" s="72"/>
      <c r="G597" s="71"/>
    </row>
    <row r="598" spans="1:7" ht="12.75" x14ac:dyDescent="0.2">
      <c r="A598" s="71"/>
      <c r="B598" s="72"/>
      <c r="C598" s="72"/>
      <c r="E598" s="72"/>
      <c r="G598" s="71"/>
    </row>
    <row r="599" spans="1:7" ht="12.75" x14ac:dyDescent="0.2">
      <c r="A599" s="71"/>
      <c r="B599" s="72"/>
      <c r="C599" s="72"/>
      <c r="E599" s="72"/>
      <c r="G599" s="71"/>
    </row>
    <row r="600" spans="1:7" ht="12.75" x14ac:dyDescent="0.2">
      <c r="A600" s="71"/>
      <c r="B600" s="72"/>
      <c r="C600" s="72"/>
      <c r="E600" s="72"/>
      <c r="G600" s="71"/>
    </row>
    <row r="601" spans="1:7" ht="12.75" x14ac:dyDescent="0.2">
      <c r="A601" s="71"/>
      <c r="B601" s="72"/>
      <c r="C601" s="72"/>
      <c r="E601" s="72"/>
      <c r="G601" s="71"/>
    </row>
    <row r="602" spans="1:7" ht="12.75" x14ac:dyDescent="0.2">
      <c r="A602" s="71"/>
      <c r="B602" s="72"/>
      <c r="C602" s="72"/>
      <c r="E602" s="72"/>
      <c r="G602" s="71"/>
    </row>
    <row r="603" spans="1:7" ht="12.75" x14ac:dyDescent="0.2">
      <c r="A603" s="71"/>
      <c r="B603" s="72"/>
      <c r="C603" s="72"/>
      <c r="E603" s="72"/>
      <c r="G603" s="71"/>
    </row>
    <row r="604" spans="1:7" ht="12.75" x14ac:dyDescent="0.2">
      <c r="A604" s="71"/>
      <c r="B604" s="72"/>
      <c r="C604" s="72"/>
      <c r="E604" s="72"/>
      <c r="G604" s="71"/>
    </row>
    <row r="605" spans="1:7" ht="12.75" x14ac:dyDescent="0.2">
      <c r="A605" s="71"/>
      <c r="B605" s="72"/>
      <c r="C605" s="72"/>
      <c r="E605" s="72"/>
      <c r="G605" s="71"/>
    </row>
    <row r="606" spans="1:7" ht="12.75" x14ac:dyDescent="0.2">
      <c r="A606" s="71"/>
      <c r="B606" s="72"/>
      <c r="C606" s="72"/>
      <c r="E606" s="72"/>
      <c r="G606" s="71"/>
    </row>
    <row r="607" spans="1:7" ht="12.75" x14ac:dyDescent="0.2">
      <c r="A607" s="71"/>
      <c r="B607" s="72"/>
      <c r="C607" s="72"/>
      <c r="E607" s="72"/>
      <c r="G607" s="71"/>
    </row>
    <row r="608" spans="1:7" ht="12.75" x14ac:dyDescent="0.2">
      <c r="A608" s="71"/>
      <c r="B608" s="72"/>
      <c r="C608" s="72"/>
      <c r="E608" s="72"/>
      <c r="G608" s="71"/>
    </row>
    <row r="609" spans="1:7" ht="12.75" x14ac:dyDescent="0.2">
      <c r="A609" s="71"/>
      <c r="B609" s="72"/>
      <c r="C609" s="72"/>
      <c r="E609" s="72"/>
      <c r="G609" s="71"/>
    </row>
    <row r="610" spans="1:7" ht="12.75" x14ac:dyDescent="0.2">
      <c r="A610" s="71"/>
      <c r="B610" s="72"/>
      <c r="C610" s="72"/>
      <c r="E610" s="72"/>
      <c r="G610" s="71"/>
    </row>
    <row r="611" spans="1:7" ht="12.75" x14ac:dyDescent="0.2">
      <c r="A611" s="71"/>
      <c r="B611" s="72"/>
      <c r="C611" s="72"/>
      <c r="E611" s="72"/>
      <c r="G611" s="71"/>
    </row>
    <row r="612" spans="1:7" ht="12.75" x14ac:dyDescent="0.2">
      <c r="A612" s="71"/>
      <c r="B612" s="72"/>
      <c r="C612" s="72"/>
      <c r="E612" s="72"/>
      <c r="G612" s="71"/>
    </row>
    <row r="613" spans="1:7" ht="12.75" x14ac:dyDescent="0.2">
      <c r="A613" s="71"/>
      <c r="B613" s="72"/>
      <c r="C613" s="72"/>
      <c r="E613" s="72"/>
      <c r="G613" s="71"/>
    </row>
    <row r="614" spans="1:7" ht="12.75" x14ac:dyDescent="0.2">
      <c r="A614" s="71"/>
      <c r="B614" s="72"/>
      <c r="C614" s="72"/>
      <c r="E614" s="72"/>
      <c r="G614" s="71"/>
    </row>
    <row r="615" spans="1:7" ht="12.75" x14ac:dyDescent="0.2">
      <c r="A615" s="71"/>
      <c r="B615" s="72"/>
      <c r="C615" s="72"/>
      <c r="E615" s="72"/>
      <c r="G615" s="71"/>
    </row>
    <row r="616" spans="1:7" ht="12.75" x14ac:dyDescent="0.2">
      <c r="A616" s="71"/>
      <c r="B616" s="72"/>
      <c r="C616" s="72"/>
      <c r="E616" s="72"/>
      <c r="G616" s="71"/>
    </row>
    <row r="617" spans="1:7" ht="12.75" x14ac:dyDescent="0.2">
      <c r="A617" s="71"/>
      <c r="B617" s="72"/>
      <c r="C617" s="72"/>
      <c r="E617" s="72"/>
      <c r="G617" s="71"/>
    </row>
    <row r="618" spans="1:7" ht="12.75" x14ac:dyDescent="0.2">
      <c r="A618" s="71"/>
      <c r="B618" s="72"/>
      <c r="C618" s="72"/>
      <c r="E618" s="72"/>
      <c r="G618" s="71"/>
    </row>
    <row r="619" spans="1:7" ht="12.75" x14ac:dyDescent="0.2">
      <c r="A619" s="71"/>
      <c r="B619" s="72"/>
      <c r="C619" s="72"/>
      <c r="E619" s="72"/>
      <c r="G619" s="71"/>
    </row>
    <row r="620" spans="1:7" ht="12.75" x14ac:dyDescent="0.2">
      <c r="A620" s="71"/>
      <c r="B620" s="72"/>
      <c r="C620" s="72"/>
      <c r="E620" s="72"/>
      <c r="G620" s="71"/>
    </row>
    <row r="621" spans="1:7" ht="12.75" x14ac:dyDescent="0.2">
      <c r="A621" s="71"/>
      <c r="B621" s="72"/>
      <c r="C621" s="72"/>
      <c r="E621" s="72"/>
      <c r="G621" s="71"/>
    </row>
    <row r="622" spans="1:7" ht="12.75" x14ac:dyDescent="0.2">
      <c r="A622" s="71"/>
      <c r="B622" s="72"/>
      <c r="C622" s="72"/>
      <c r="E622" s="72"/>
      <c r="G622" s="71"/>
    </row>
    <row r="623" spans="1:7" ht="12.75" x14ac:dyDescent="0.2">
      <c r="A623" s="71"/>
      <c r="B623" s="72"/>
      <c r="C623" s="72"/>
      <c r="E623" s="72"/>
      <c r="G623" s="71"/>
    </row>
    <row r="624" spans="1:7" ht="12.75" x14ac:dyDescent="0.2">
      <c r="A624" s="71"/>
      <c r="B624" s="72"/>
      <c r="C624" s="72"/>
      <c r="E624" s="72"/>
      <c r="G624" s="71"/>
    </row>
    <row r="625" spans="1:7" ht="12.75" x14ac:dyDescent="0.2">
      <c r="A625" s="71"/>
      <c r="B625" s="72"/>
      <c r="C625" s="72"/>
      <c r="E625" s="72"/>
      <c r="G625" s="71"/>
    </row>
    <row r="626" spans="1:7" ht="12.75" x14ac:dyDescent="0.2">
      <c r="A626" s="71"/>
      <c r="B626" s="72"/>
      <c r="C626" s="72"/>
      <c r="E626" s="72"/>
      <c r="G626" s="71"/>
    </row>
    <row r="627" spans="1:7" ht="12.75" x14ac:dyDescent="0.2">
      <c r="A627" s="71"/>
      <c r="B627" s="72"/>
      <c r="C627" s="72"/>
      <c r="E627" s="72"/>
      <c r="G627" s="71"/>
    </row>
    <row r="628" spans="1:7" ht="12.75" x14ac:dyDescent="0.2">
      <c r="A628" s="71"/>
      <c r="B628" s="72"/>
      <c r="C628" s="72"/>
      <c r="E628" s="72"/>
      <c r="G628" s="71"/>
    </row>
    <row r="629" spans="1:7" ht="12.75" x14ac:dyDescent="0.2">
      <c r="A629" s="71"/>
      <c r="B629" s="72"/>
      <c r="C629" s="72"/>
      <c r="E629" s="72"/>
      <c r="G629" s="71"/>
    </row>
    <row r="630" spans="1:7" ht="12.75" x14ac:dyDescent="0.2">
      <c r="A630" s="71"/>
      <c r="B630" s="72"/>
      <c r="C630" s="72"/>
      <c r="E630" s="72"/>
      <c r="G630" s="71"/>
    </row>
    <row r="631" spans="1:7" ht="12.75" x14ac:dyDescent="0.2">
      <c r="A631" s="71"/>
      <c r="B631" s="72"/>
      <c r="C631" s="72"/>
      <c r="E631" s="72"/>
      <c r="G631" s="71"/>
    </row>
    <row r="632" spans="1:7" ht="12.75" x14ac:dyDescent="0.2">
      <c r="A632" s="71"/>
      <c r="B632" s="72"/>
      <c r="C632" s="72"/>
      <c r="E632" s="72"/>
      <c r="G632" s="71"/>
    </row>
    <row r="633" spans="1:7" ht="12.75" x14ac:dyDescent="0.2">
      <c r="A633" s="71"/>
      <c r="B633" s="72"/>
      <c r="C633" s="72"/>
      <c r="E633" s="72"/>
      <c r="G633" s="71"/>
    </row>
    <row r="634" spans="1:7" ht="12.75" x14ac:dyDescent="0.2">
      <c r="A634" s="71"/>
      <c r="B634" s="72"/>
      <c r="C634" s="72"/>
      <c r="E634" s="72"/>
      <c r="G634" s="71"/>
    </row>
    <row r="635" spans="1:7" ht="12.75" x14ac:dyDescent="0.2">
      <c r="A635" s="71"/>
      <c r="B635" s="72"/>
      <c r="C635" s="72"/>
      <c r="E635" s="72"/>
      <c r="G635" s="71"/>
    </row>
    <row r="636" spans="1:7" ht="12.75" x14ac:dyDescent="0.2">
      <c r="A636" s="71"/>
      <c r="B636" s="72"/>
      <c r="C636" s="72"/>
      <c r="E636" s="72"/>
      <c r="G636" s="71"/>
    </row>
    <row r="637" spans="1:7" ht="12.75" x14ac:dyDescent="0.2">
      <c r="A637" s="71"/>
      <c r="B637" s="72"/>
      <c r="C637" s="72"/>
      <c r="E637" s="72"/>
      <c r="G637" s="71"/>
    </row>
    <row r="638" spans="1:7" ht="12.75" x14ac:dyDescent="0.2">
      <c r="A638" s="71"/>
      <c r="B638" s="72"/>
      <c r="C638" s="72"/>
      <c r="E638" s="72"/>
      <c r="G638" s="71"/>
    </row>
    <row r="639" spans="1:7" ht="12.75" x14ac:dyDescent="0.2">
      <c r="A639" s="71"/>
      <c r="B639" s="72"/>
      <c r="C639" s="72"/>
      <c r="E639" s="72"/>
      <c r="G639" s="71"/>
    </row>
    <row r="640" spans="1:7" ht="12.75" x14ac:dyDescent="0.2">
      <c r="A640" s="71"/>
      <c r="B640" s="72"/>
      <c r="C640" s="72"/>
      <c r="E640" s="72"/>
      <c r="G640" s="71"/>
    </row>
    <row r="641" spans="1:7" ht="12.75" x14ac:dyDescent="0.2">
      <c r="A641" s="71"/>
      <c r="B641" s="72"/>
      <c r="C641" s="72"/>
      <c r="E641" s="72"/>
      <c r="G641" s="71"/>
    </row>
    <row r="642" spans="1:7" ht="12.75" x14ac:dyDescent="0.2">
      <c r="A642" s="71"/>
      <c r="B642" s="72"/>
      <c r="C642" s="72"/>
      <c r="E642" s="72"/>
      <c r="G642" s="71"/>
    </row>
    <row r="643" spans="1:7" ht="12.75" x14ac:dyDescent="0.2">
      <c r="A643" s="71"/>
      <c r="B643" s="72"/>
      <c r="C643" s="72"/>
      <c r="E643" s="72"/>
      <c r="G643" s="71"/>
    </row>
    <row r="644" spans="1:7" ht="12.75" x14ac:dyDescent="0.2">
      <c r="A644" s="71"/>
      <c r="B644" s="72"/>
      <c r="C644" s="72"/>
      <c r="E644" s="72"/>
      <c r="G644" s="71"/>
    </row>
    <row r="645" spans="1:7" ht="12.75" x14ac:dyDescent="0.2">
      <c r="A645" s="71"/>
      <c r="B645" s="72"/>
      <c r="C645" s="72"/>
      <c r="E645" s="72"/>
      <c r="G645" s="71"/>
    </row>
    <row r="646" spans="1:7" ht="12.75" x14ac:dyDescent="0.2">
      <c r="A646" s="71"/>
      <c r="B646" s="72"/>
      <c r="C646" s="72"/>
      <c r="E646" s="72"/>
      <c r="G646" s="71"/>
    </row>
    <row r="647" spans="1:7" ht="12.75" x14ac:dyDescent="0.2">
      <c r="A647" s="71"/>
      <c r="B647" s="72"/>
      <c r="C647" s="72"/>
      <c r="E647" s="72"/>
      <c r="G647" s="71"/>
    </row>
    <row r="648" spans="1:7" ht="12.75" x14ac:dyDescent="0.2">
      <c r="A648" s="71"/>
      <c r="B648" s="72"/>
      <c r="C648" s="72"/>
      <c r="E648" s="72"/>
      <c r="G648" s="71"/>
    </row>
    <row r="649" spans="1:7" ht="12.75" x14ac:dyDescent="0.2">
      <c r="A649" s="71"/>
      <c r="B649" s="72"/>
      <c r="C649" s="72"/>
      <c r="E649" s="72"/>
      <c r="G649" s="71"/>
    </row>
    <row r="650" spans="1:7" ht="12.75" x14ac:dyDescent="0.2">
      <c r="A650" s="71"/>
      <c r="B650" s="72"/>
      <c r="C650" s="72"/>
      <c r="E650" s="72"/>
      <c r="G650" s="71"/>
    </row>
    <row r="651" spans="1:7" ht="12.75" x14ac:dyDescent="0.2">
      <c r="A651" s="71"/>
      <c r="B651" s="72"/>
      <c r="C651" s="72"/>
      <c r="E651" s="72"/>
      <c r="G651" s="71"/>
    </row>
    <row r="652" spans="1:7" ht="12.75" x14ac:dyDescent="0.2">
      <c r="A652" s="71"/>
      <c r="B652" s="72"/>
      <c r="C652" s="72"/>
      <c r="E652" s="72"/>
      <c r="G652" s="71"/>
    </row>
    <row r="653" spans="1:7" ht="12.75" x14ac:dyDescent="0.2">
      <c r="A653" s="71"/>
      <c r="B653" s="72"/>
      <c r="C653" s="72"/>
      <c r="E653" s="72"/>
      <c r="G653" s="71"/>
    </row>
    <row r="654" spans="1:7" ht="12.75" x14ac:dyDescent="0.2">
      <c r="A654" s="71"/>
      <c r="B654" s="72"/>
      <c r="C654" s="72"/>
      <c r="E654" s="72"/>
      <c r="G654" s="71"/>
    </row>
    <row r="655" spans="1:7" ht="12.75" x14ac:dyDescent="0.2">
      <c r="A655" s="71"/>
      <c r="B655" s="72"/>
      <c r="C655" s="72"/>
      <c r="E655" s="72"/>
      <c r="G655" s="71"/>
    </row>
    <row r="656" spans="1:7" ht="12.75" x14ac:dyDescent="0.2">
      <c r="A656" s="71"/>
      <c r="B656" s="72"/>
      <c r="C656" s="72"/>
      <c r="E656" s="72"/>
      <c r="G656" s="71"/>
    </row>
    <row r="657" spans="1:7" ht="12.75" x14ac:dyDescent="0.2">
      <c r="A657" s="71"/>
      <c r="B657" s="72"/>
      <c r="C657" s="72"/>
      <c r="E657" s="72"/>
      <c r="G657" s="71"/>
    </row>
    <row r="658" spans="1:7" ht="12.75" x14ac:dyDescent="0.2">
      <c r="A658" s="71"/>
      <c r="B658" s="72"/>
      <c r="C658" s="72"/>
      <c r="E658" s="72"/>
      <c r="G658" s="71"/>
    </row>
    <row r="659" spans="1:7" ht="12.75" x14ac:dyDescent="0.2">
      <c r="A659" s="71"/>
      <c r="B659" s="72"/>
      <c r="C659" s="72"/>
      <c r="E659" s="72"/>
      <c r="G659" s="71"/>
    </row>
    <row r="660" spans="1:7" ht="12.75" x14ac:dyDescent="0.2">
      <c r="A660" s="71"/>
      <c r="B660" s="72"/>
      <c r="C660" s="72"/>
      <c r="E660" s="72"/>
      <c r="G660" s="71"/>
    </row>
    <row r="661" spans="1:7" ht="12.75" x14ac:dyDescent="0.2">
      <c r="A661" s="71"/>
      <c r="B661" s="72"/>
      <c r="C661" s="72"/>
      <c r="E661" s="72"/>
      <c r="G661" s="71"/>
    </row>
    <row r="662" spans="1:7" ht="12.75" x14ac:dyDescent="0.2">
      <c r="A662" s="71"/>
      <c r="B662" s="72"/>
      <c r="C662" s="72"/>
      <c r="E662" s="72"/>
      <c r="G662" s="71"/>
    </row>
    <row r="663" spans="1:7" ht="12.75" x14ac:dyDescent="0.2">
      <c r="A663" s="71"/>
      <c r="B663" s="72"/>
      <c r="C663" s="72"/>
      <c r="E663" s="72"/>
      <c r="G663" s="71"/>
    </row>
    <row r="664" spans="1:7" ht="12.75" x14ac:dyDescent="0.2">
      <c r="A664" s="71"/>
      <c r="B664" s="72"/>
      <c r="C664" s="72"/>
      <c r="E664" s="72"/>
      <c r="G664" s="71"/>
    </row>
    <row r="665" spans="1:7" ht="12.75" x14ac:dyDescent="0.2">
      <c r="A665" s="71"/>
      <c r="B665" s="72"/>
      <c r="C665" s="72"/>
      <c r="E665" s="72"/>
      <c r="G665" s="71"/>
    </row>
    <row r="666" spans="1:7" ht="12.75" x14ac:dyDescent="0.2">
      <c r="A666" s="71"/>
      <c r="B666" s="72"/>
      <c r="C666" s="72"/>
      <c r="E666" s="72"/>
      <c r="G666" s="71"/>
    </row>
    <row r="667" spans="1:7" ht="12.75" x14ac:dyDescent="0.2">
      <c r="A667" s="71"/>
      <c r="B667" s="72"/>
      <c r="C667" s="72"/>
      <c r="E667" s="72"/>
      <c r="G667" s="71"/>
    </row>
    <row r="668" spans="1:7" ht="12.75" x14ac:dyDescent="0.2">
      <c r="A668" s="71"/>
      <c r="B668" s="72"/>
      <c r="C668" s="72"/>
      <c r="E668" s="72"/>
      <c r="G668" s="71"/>
    </row>
    <row r="669" spans="1:7" ht="12.75" x14ac:dyDescent="0.2">
      <c r="A669" s="71"/>
      <c r="B669" s="72"/>
      <c r="C669" s="72"/>
      <c r="E669" s="72"/>
      <c r="G669" s="71"/>
    </row>
    <row r="670" spans="1:7" ht="12.75" x14ac:dyDescent="0.2">
      <c r="A670" s="71"/>
      <c r="B670" s="72"/>
      <c r="C670" s="72"/>
      <c r="E670" s="72"/>
      <c r="G670" s="71"/>
    </row>
    <row r="671" spans="1:7" ht="12.75" x14ac:dyDescent="0.2">
      <c r="A671" s="71"/>
      <c r="B671" s="72"/>
      <c r="C671" s="72"/>
      <c r="E671" s="72"/>
      <c r="G671" s="71"/>
    </row>
    <row r="672" spans="1:7" ht="12.75" x14ac:dyDescent="0.2">
      <c r="A672" s="71"/>
      <c r="B672" s="72"/>
      <c r="C672" s="72"/>
      <c r="E672" s="72"/>
      <c r="G672" s="71"/>
    </row>
    <row r="673" spans="1:7" ht="12.75" x14ac:dyDescent="0.2">
      <c r="A673" s="71"/>
      <c r="B673" s="72"/>
      <c r="C673" s="72"/>
      <c r="E673" s="72"/>
      <c r="G673" s="71"/>
    </row>
    <row r="674" spans="1:7" ht="12.75" x14ac:dyDescent="0.2">
      <c r="A674" s="71"/>
      <c r="B674" s="72"/>
      <c r="C674" s="72"/>
      <c r="E674" s="72"/>
      <c r="G674" s="71"/>
    </row>
    <row r="675" spans="1:7" ht="12.75" x14ac:dyDescent="0.2">
      <c r="A675" s="71"/>
      <c r="B675" s="72"/>
      <c r="C675" s="72"/>
      <c r="E675" s="72"/>
      <c r="G675" s="71"/>
    </row>
    <row r="676" spans="1:7" ht="12.75" x14ac:dyDescent="0.2">
      <c r="A676" s="71"/>
      <c r="B676" s="72"/>
      <c r="C676" s="72"/>
      <c r="E676" s="72"/>
      <c r="G676" s="71"/>
    </row>
    <row r="677" spans="1:7" ht="12.75" x14ac:dyDescent="0.2">
      <c r="A677" s="71"/>
      <c r="B677" s="72"/>
      <c r="C677" s="72"/>
      <c r="E677" s="72"/>
      <c r="G677" s="71"/>
    </row>
    <row r="678" spans="1:7" ht="12.75" x14ac:dyDescent="0.2">
      <c r="A678" s="71"/>
      <c r="B678" s="72"/>
      <c r="C678" s="72"/>
      <c r="E678" s="72"/>
      <c r="G678" s="71"/>
    </row>
    <row r="679" spans="1:7" ht="12.75" x14ac:dyDescent="0.2">
      <c r="A679" s="71"/>
      <c r="B679" s="72"/>
      <c r="C679" s="72"/>
      <c r="E679" s="72"/>
      <c r="G679" s="71"/>
    </row>
    <row r="680" spans="1:7" ht="12.75" x14ac:dyDescent="0.2">
      <c r="A680" s="71"/>
      <c r="B680" s="72"/>
      <c r="C680" s="72"/>
      <c r="E680" s="72"/>
      <c r="G680" s="71"/>
    </row>
    <row r="681" spans="1:7" ht="12.75" x14ac:dyDescent="0.2">
      <c r="A681" s="71"/>
      <c r="B681" s="72"/>
      <c r="C681" s="72"/>
      <c r="E681" s="72"/>
      <c r="G681" s="71"/>
    </row>
    <row r="682" spans="1:7" ht="12.75" x14ac:dyDescent="0.2">
      <c r="A682" s="71"/>
      <c r="B682" s="72"/>
      <c r="C682" s="72"/>
      <c r="E682" s="72"/>
      <c r="G682" s="71"/>
    </row>
    <row r="683" spans="1:7" ht="12.75" x14ac:dyDescent="0.2">
      <c r="A683" s="71"/>
      <c r="B683" s="72"/>
      <c r="C683" s="72"/>
      <c r="E683" s="72"/>
      <c r="G683" s="71"/>
    </row>
    <row r="684" spans="1:7" ht="12.75" x14ac:dyDescent="0.2">
      <c r="A684" s="71"/>
      <c r="B684" s="72"/>
      <c r="C684" s="72"/>
      <c r="E684" s="72"/>
      <c r="G684" s="71"/>
    </row>
    <row r="685" spans="1:7" ht="12.75" x14ac:dyDescent="0.2">
      <c r="A685" s="71"/>
      <c r="B685" s="72"/>
      <c r="C685" s="72"/>
      <c r="E685" s="72"/>
      <c r="G685" s="71"/>
    </row>
    <row r="686" spans="1:7" ht="12.75" x14ac:dyDescent="0.2">
      <c r="A686" s="71"/>
      <c r="B686" s="72"/>
      <c r="C686" s="72"/>
      <c r="E686" s="72"/>
      <c r="G686" s="71"/>
    </row>
    <row r="687" spans="1:7" ht="12.75" x14ac:dyDescent="0.2">
      <c r="A687" s="71"/>
      <c r="B687" s="72"/>
      <c r="C687" s="72"/>
      <c r="E687" s="72"/>
      <c r="G687" s="71"/>
    </row>
    <row r="688" spans="1:7" ht="12.75" x14ac:dyDescent="0.2">
      <c r="A688" s="71"/>
      <c r="B688" s="72"/>
      <c r="C688" s="72"/>
      <c r="E688" s="72"/>
      <c r="G688" s="71"/>
    </row>
    <row r="689" spans="1:7" ht="12.75" x14ac:dyDescent="0.2">
      <c r="A689" s="71"/>
      <c r="B689" s="72"/>
      <c r="C689" s="72"/>
      <c r="E689" s="72"/>
      <c r="G689" s="71"/>
    </row>
    <row r="690" spans="1:7" ht="12.75" x14ac:dyDescent="0.2">
      <c r="A690" s="71"/>
      <c r="B690" s="72"/>
      <c r="C690" s="72"/>
      <c r="E690" s="72"/>
      <c r="G690" s="71"/>
    </row>
    <row r="691" spans="1:7" ht="12.75" x14ac:dyDescent="0.2">
      <c r="A691" s="71"/>
      <c r="B691" s="72"/>
      <c r="C691" s="72"/>
      <c r="E691" s="72"/>
      <c r="G691" s="71"/>
    </row>
    <row r="692" spans="1:7" ht="12.75" x14ac:dyDescent="0.2">
      <c r="A692" s="71"/>
      <c r="B692" s="72"/>
      <c r="C692" s="72"/>
      <c r="E692" s="72"/>
      <c r="G692" s="71"/>
    </row>
    <row r="693" spans="1:7" ht="12.75" x14ac:dyDescent="0.2">
      <c r="A693" s="71"/>
      <c r="B693" s="72"/>
      <c r="C693" s="72"/>
      <c r="E693" s="72"/>
      <c r="G693" s="71"/>
    </row>
    <row r="694" spans="1:7" ht="12.75" x14ac:dyDescent="0.2">
      <c r="A694" s="71"/>
      <c r="B694" s="72"/>
      <c r="C694" s="72"/>
      <c r="E694" s="72"/>
      <c r="G694" s="71"/>
    </row>
    <row r="695" spans="1:7" ht="12.75" x14ac:dyDescent="0.2">
      <c r="A695" s="71"/>
      <c r="B695" s="72"/>
      <c r="C695" s="72"/>
      <c r="E695" s="72"/>
      <c r="G695" s="71"/>
    </row>
    <row r="696" spans="1:7" ht="12.75" x14ac:dyDescent="0.2">
      <c r="A696" s="71"/>
      <c r="B696" s="72"/>
      <c r="C696" s="72"/>
      <c r="E696" s="72"/>
      <c r="G696" s="71"/>
    </row>
    <row r="697" spans="1:7" ht="12.75" x14ac:dyDescent="0.2">
      <c r="A697" s="71"/>
      <c r="B697" s="72"/>
      <c r="C697" s="72"/>
      <c r="E697" s="72"/>
      <c r="G697" s="71"/>
    </row>
    <row r="698" spans="1:7" ht="12.75" x14ac:dyDescent="0.2">
      <c r="A698" s="71"/>
      <c r="B698" s="72"/>
      <c r="C698" s="72"/>
      <c r="E698" s="72"/>
      <c r="G698" s="71"/>
    </row>
    <row r="699" spans="1:7" ht="12.75" x14ac:dyDescent="0.2">
      <c r="A699" s="71"/>
      <c r="B699" s="72"/>
      <c r="C699" s="72"/>
      <c r="E699" s="72"/>
      <c r="G699" s="71"/>
    </row>
    <row r="700" spans="1:7" ht="12.75" x14ac:dyDescent="0.2">
      <c r="A700" s="71"/>
      <c r="B700" s="72"/>
      <c r="C700" s="72"/>
      <c r="E700" s="72"/>
      <c r="G700" s="71"/>
    </row>
    <row r="701" spans="1:7" ht="12.75" x14ac:dyDescent="0.2">
      <c r="A701" s="71"/>
      <c r="B701" s="72"/>
      <c r="C701" s="72"/>
      <c r="E701" s="72"/>
      <c r="G701" s="71"/>
    </row>
    <row r="702" spans="1:7" ht="12.75" x14ac:dyDescent="0.2">
      <c r="A702" s="71"/>
      <c r="B702" s="72"/>
      <c r="C702" s="72"/>
      <c r="E702" s="72"/>
      <c r="G702" s="71"/>
    </row>
    <row r="703" spans="1:7" ht="12.75" x14ac:dyDescent="0.2">
      <c r="A703" s="71"/>
      <c r="B703" s="72"/>
      <c r="C703" s="72"/>
      <c r="E703" s="72"/>
      <c r="G703" s="71"/>
    </row>
    <row r="704" spans="1:7" ht="12.75" x14ac:dyDescent="0.2">
      <c r="A704" s="71"/>
      <c r="B704" s="72"/>
      <c r="C704" s="72"/>
      <c r="E704" s="72"/>
      <c r="G704" s="71"/>
    </row>
    <row r="705" spans="1:7" ht="12.75" x14ac:dyDescent="0.2">
      <c r="A705" s="71"/>
      <c r="B705" s="72"/>
      <c r="C705" s="72"/>
      <c r="E705" s="72"/>
      <c r="G705" s="71"/>
    </row>
    <row r="706" spans="1:7" ht="12.75" x14ac:dyDescent="0.2">
      <c r="A706" s="71"/>
      <c r="B706" s="72"/>
      <c r="C706" s="72"/>
      <c r="E706" s="72"/>
      <c r="G706" s="71"/>
    </row>
    <row r="707" spans="1:7" ht="12.75" x14ac:dyDescent="0.2">
      <c r="A707" s="71"/>
      <c r="B707" s="72"/>
      <c r="C707" s="72"/>
      <c r="E707" s="72"/>
      <c r="G707" s="71"/>
    </row>
    <row r="708" spans="1:7" ht="12.75" x14ac:dyDescent="0.2">
      <c r="A708" s="71"/>
      <c r="B708" s="72"/>
      <c r="C708" s="72"/>
      <c r="E708" s="72"/>
      <c r="G708" s="71"/>
    </row>
    <row r="709" spans="1:7" ht="12.75" x14ac:dyDescent="0.2">
      <c r="A709" s="71"/>
      <c r="B709" s="72"/>
      <c r="C709" s="72"/>
      <c r="E709" s="72"/>
      <c r="G709" s="71"/>
    </row>
    <row r="710" spans="1:7" ht="12.75" x14ac:dyDescent="0.2">
      <c r="A710" s="71"/>
      <c r="B710" s="72"/>
      <c r="C710" s="72"/>
      <c r="E710" s="72"/>
      <c r="G710" s="71"/>
    </row>
    <row r="711" spans="1:7" ht="12.75" x14ac:dyDescent="0.2">
      <c r="A711" s="71"/>
      <c r="B711" s="72"/>
      <c r="C711" s="72"/>
      <c r="E711" s="72"/>
      <c r="G711" s="71"/>
    </row>
    <row r="712" spans="1:7" ht="12.75" x14ac:dyDescent="0.2">
      <c r="A712" s="71"/>
      <c r="B712" s="72"/>
      <c r="C712" s="72"/>
      <c r="E712" s="72"/>
      <c r="G712" s="71"/>
    </row>
    <row r="713" spans="1:7" ht="12.75" x14ac:dyDescent="0.2">
      <c r="A713" s="71"/>
      <c r="B713" s="72"/>
      <c r="C713" s="72"/>
      <c r="E713" s="72"/>
      <c r="G713" s="71"/>
    </row>
    <row r="714" spans="1:7" ht="12.75" x14ac:dyDescent="0.2">
      <c r="A714" s="71"/>
      <c r="B714" s="72"/>
      <c r="C714" s="72"/>
      <c r="E714" s="72"/>
      <c r="G714" s="71"/>
    </row>
    <row r="715" spans="1:7" ht="12.75" x14ac:dyDescent="0.2">
      <c r="A715" s="71"/>
      <c r="B715" s="72"/>
      <c r="C715" s="72"/>
      <c r="E715" s="72"/>
      <c r="G715" s="71"/>
    </row>
    <row r="716" spans="1:7" ht="12.75" x14ac:dyDescent="0.2">
      <c r="A716" s="71"/>
      <c r="B716" s="72"/>
      <c r="C716" s="72"/>
      <c r="E716" s="72"/>
      <c r="G716" s="71"/>
    </row>
    <row r="717" spans="1:7" ht="12.75" x14ac:dyDescent="0.2">
      <c r="A717" s="71"/>
      <c r="B717" s="72"/>
      <c r="C717" s="72"/>
      <c r="E717" s="72"/>
      <c r="G717" s="71"/>
    </row>
    <row r="718" spans="1:7" ht="12.75" x14ac:dyDescent="0.2">
      <c r="A718" s="71"/>
      <c r="B718" s="72"/>
      <c r="C718" s="72"/>
      <c r="E718" s="72"/>
      <c r="G718" s="71"/>
    </row>
    <row r="719" spans="1:7" ht="12.75" x14ac:dyDescent="0.2">
      <c r="A719" s="71"/>
      <c r="B719" s="72"/>
      <c r="C719" s="72"/>
      <c r="E719" s="72"/>
      <c r="G719" s="71"/>
    </row>
    <row r="720" spans="1:7" ht="12.75" x14ac:dyDescent="0.2">
      <c r="A720" s="71"/>
      <c r="B720" s="72"/>
      <c r="C720" s="72"/>
      <c r="E720" s="72"/>
      <c r="G720" s="71"/>
    </row>
    <row r="721" spans="1:7" ht="12.75" x14ac:dyDescent="0.2">
      <c r="A721" s="71"/>
      <c r="B721" s="72"/>
      <c r="C721" s="72"/>
      <c r="E721" s="72"/>
      <c r="G721" s="71"/>
    </row>
    <row r="722" spans="1:7" ht="12.75" x14ac:dyDescent="0.2">
      <c r="A722" s="71"/>
      <c r="B722" s="72"/>
      <c r="C722" s="72"/>
      <c r="E722" s="72"/>
      <c r="G722" s="71"/>
    </row>
    <row r="723" spans="1:7" ht="12.75" x14ac:dyDescent="0.2">
      <c r="A723" s="71"/>
      <c r="B723" s="72"/>
      <c r="C723" s="72"/>
      <c r="E723" s="72"/>
      <c r="G723" s="71"/>
    </row>
    <row r="724" spans="1:7" ht="12.75" x14ac:dyDescent="0.2">
      <c r="A724" s="71"/>
      <c r="B724" s="72"/>
      <c r="C724" s="72"/>
      <c r="E724" s="72"/>
      <c r="G724" s="71"/>
    </row>
    <row r="725" spans="1:7" ht="12.75" x14ac:dyDescent="0.2">
      <c r="A725" s="71"/>
      <c r="B725" s="72"/>
      <c r="C725" s="72"/>
      <c r="E725" s="72"/>
      <c r="G725" s="71"/>
    </row>
    <row r="726" spans="1:7" ht="12.75" x14ac:dyDescent="0.2">
      <c r="A726" s="71"/>
      <c r="B726" s="72"/>
      <c r="C726" s="72"/>
      <c r="E726" s="72"/>
      <c r="G726" s="71"/>
    </row>
    <row r="727" spans="1:7" ht="12.75" x14ac:dyDescent="0.2">
      <c r="A727" s="71"/>
      <c r="B727" s="72"/>
      <c r="C727" s="72"/>
      <c r="E727" s="72"/>
      <c r="G727" s="71"/>
    </row>
    <row r="728" spans="1:7" ht="12.75" x14ac:dyDescent="0.2">
      <c r="A728" s="71"/>
      <c r="B728" s="72"/>
      <c r="C728" s="72"/>
      <c r="E728" s="72"/>
      <c r="G728" s="71"/>
    </row>
    <row r="729" spans="1:7" ht="12.75" x14ac:dyDescent="0.2">
      <c r="A729" s="71"/>
      <c r="B729" s="72"/>
      <c r="C729" s="72"/>
      <c r="E729" s="72"/>
      <c r="G729" s="71"/>
    </row>
    <row r="730" spans="1:7" ht="12.75" x14ac:dyDescent="0.2">
      <c r="A730" s="71"/>
      <c r="B730" s="72"/>
      <c r="C730" s="72"/>
      <c r="E730" s="72"/>
      <c r="G730" s="71"/>
    </row>
    <row r="731" spans="1:7" ht="12.75" x14ac:dyDescent="0.2">
      <c r="A731" s="71"/>
      <c r="B731" s="72"/>
      <c r="C731" s="72"/>
      <c r="E731" s="72"/>
      <c r="G731" s="71"/>
    </row>
    <row r="732" spans="1:7" ht="12.75" x14ac:dyDescent="0.2">
      <c r="A732" s="71"/>
      <c r="B732" s="72"/>
      <c r="C732" s="72"/>
      <c r="E732" s="72"/>
      <c r="G732" s="71"/>
    </row>
    <row r="733" spans="1:7" ht="12.75" x14ac:dyDescent="0.2">
      <c r="A733" s="71"/>
      <c r="B733" s="72"/>
      <c r="C733" s="72"/>
      <c r="E733" s="72"/>
      <c r="G733" s="71"/>
    </row>
    <row r="734" spans="1:7" ht="12.75" x14ac:dyDescent="0.2">
      <c r="A734" s="71"/>
      <c r="B734" s="72"/>
      <c r="C734" s="72"/>
      <c r="E734" s="72"/>
      <c r="G734" s="71"/>
    </row>
    <row r="735" spans="1:7" ht="12.75" x14ac:dyDescent="0.2">
      <c r="A735" s="71"/>
      <c r="B735" s="72"/>
      <c r="C735" s="72"/>
      <c r="E735" s="72"/>
      <c r="G735" s="71"/>
    </row>
    <row r="736" spans="1:7" ht="12.75" x14ac:dyDescent="0.2">
      <c r="A736" s="71"/>
      <c r="B736" s="72"/>
      <c r="C736" s="72"/>
      <c r="E736" s="72"/>
      <c r="G736" s="71"/>
    </row>
    <row r="737" spans="1:7" ht="12.75" x14ac:dyDescent="0.2">
      <c r="A737" s="71"/>
      <c r="B737" s="72"/>
      <c r="C737" s="72"/>
      <c r="E737" s="72"/>
      <c r="G737" s="71"/>
    </row>
    <row r="738" spans="1:7" ht="12.75" x14ac:dyDescent="0.2">
      <c r="A738" s="71"/>
      <c r="B738" s="72"/>
      <c r="C738" s="72"/>
      <c r="E738" s="72"/>
      <c r="G738" s="71"/>
    </row>
    <row r="739" spans="1:7" ht="12.75" x14ac:dyDescent="0.2">
      <c r="A739" s="71"/>
      <c r="B739" s="72"/>
      <c r="C739" s="72"/>
      <c r="E739" s="72"/>
      <c r="G739" s="71"/>
    </row>
    <row r="740" spans="1:7" ht="12.75" x14ac:dyDescent="0.2">
      <c r="A740" s="71"/>
      <c r="B740" s="72"/>
      <c r="C740" s="72"/>
      <c r="E740" s="72"/>
      <c r="G740" s="71"/>
    </row>
    <row r="741" spans="1:7" ht="12.75" x14ac:dyDescent="0.2">
      <c r="A741" s="71"/>
      <c r="B741" s="72"/>
      <c r="C741" s="72"/>
      <c r="E741" s="72"/>
      <c r="G741" s="71"/>
    </row>
    <row r="742" spans="1:7" ht="12.75" x14ac:dyDescent="0.2">
      <c r="A742" s="71"/>
      <c r="B742" s="72"/>
      <c r="C742" s="72"/>
      <c r="E742" s="72"/>
      <c r="G742" s="71"/>
    </row>
    <row r="743" spans="1:7" ht="12.75" x14ac:dyDescent="0.2">
      <c r="A743" s="71"/>
      <c r="B743" s="72"/>
      <c r="C743" s="72"/>
      <c r="E743" s="72"/>
      <c r="G743" s="71"/>
    </row>
    <row r="744" spans="1:7" ht="12.75" x14ac:dyDescent="0.2">
      <c r="A744" s="71"/>
      <c r="B744" s="72"/>
      <c r="C744" s="72"/>
      <c r="E744" s="72"/>
      <c r="G744" s="71"/>
    </row>
    <row r="745" spans="1:7" ht="12.75" x14ac:dyDescent="0.2">
      <c r="A745" s="71"/>
      <c r="B745" s="72"/>
      <c r="C745" s="72"/>
      <c r="E745" s="72"/>
      <c r="G745" s="71"/>
    </row>
    <row r="746" spans="1:7" ht="12.75" x14ac:dyDescent="0.2">
      <c r="A746" s="71"/>
      <c r="B746" s="72"/>
      <c r="C746" s="72"/>
      <c r="E746" s="72"/>
      <c r="G746" s="71"/>
    </row>
    <row r="747" spans="1:7" ht="12.75" x14ac:dyDescent="0.2">
      <c r="A747" s="71"/>
      <c r="B747" s="72"/>
      <c r="C747" s="72"/>
      <c r="E747" s="72"/>
      <c r="G747" s="71"/>
    </row>
    <row r="748" spans="1:7" ht="12.75" x14ac:dyDescent="0.2">
      <c r="A748" s="71"/>
      <c r="B748" s="72"/>
      <c r="C748" s="72"/>
      <c r="E748" s="72"/>
      <c r="G748" s="71"/>
    </row>
    <row r="749" spans="1:7" ht="12.75" x14ac:dyDescent="0.2">
      <c r="A749" s="71"/>
      <c r="B749" s="72"/>
      <c r="C749" s="72"/>
      <c r="E749" s="72"/>
      <c r="G749" s="71"/>
    </row>
    <row r="750" spans="1:7" ht="12.75" x14ac:dyDescent="0.2">
      <c r="A750" s="71"/>
      <c r="B750" s="72"/>
      <c r="C750" s="72"/>
      <c r="E750" s="72"/>
      <c r="G750" s="71"/>
    </row>
    <row r="751" spans="1:7" ht="12.75" x14ac:dyDescent="0.2">
      <c r="A751" s="71"/>
      <c r="B751" s="72"/>
      <c r="C751" s="72"/>
      <c r="E751" s="72"/>
      <c r="G751" s="71"/>
    </row>
    <row r="752" spans="1:7" ht="12.75" x14ac:dyDescent="0.2">
      <c r="A752" s="71"/>
      <c r="B752" s="72"/>
      <c r="C752" s="72"/>
      <c r="E752" s="72"/>
      <c r="G752" s="71"/>
    </row>
    <row r="753" spans="1:7" ht="12.75" x14ac:dyDescent="0.2">
      <c r="A753" s="71"/>
      <c r="B753" s="72"/>
      <c r="C753" s="72"/>
      <c r="E753" s="72"/>
      <c r="G753" s="71"/>
    </row>
    <row r="754" spans="1:7" ht="12.75" x14ac:dyDescent="0.2">
      <c r="A754" s="71"/>
      <c r="B754" s="72"/>
      <c r="C754" s="72"/>
      <c r="E754" s="72"/>
      <c r="G754" s="71"/>
    </row>
    <row r="755" spans="1:7" ht="12.75" x14ac:dyDescent="0.2">
      <c r="A755" s="71"/>
      <c r="B755" s="72"/>
      <c r="C755" s="72"/>
      <c r="E755" s="72"/>
      <c r="G755" s="71"/>
    </row>
    <row r="756" spans="1:7" ht="12.75" x14ac:dyDescent="0.2">
      <c r="A756" s="71"/>
      <c r="B756" s="72"/>
      <c r="C756" s="72"/>
      <c r="E756" s="72"/>
      <c r="G756" s="71"/>
    </row>
    <row r="757" spans="1:7" ht="12.75" x14ac:dyDescent="0.2">
      <c r="A757" s="71"/>
      <c r="B757" s="72"/>
      <c r="C757" s="72"/>
      <c r="E757" s="72"/>
      <c r="G757" s="71"/>
    </row>
    <row r="758" spans="1:7" ht="12.75" x14ac:dyDescent="0.2">
      <c r="A758" s="71"/>
      <c r="B758" s="72"/>
      <c r="C758" s="72"/>
      <c r="E758" s="72"/>
      <c r="G758" s="71"/>
    </row>
    <row r="759" spans="1:7" ht="12.75" x14ac:dyDescent="0.2">
      <c r="A759" s="71"/>
      <c r="B759" s="72"/>
      <c r="C759" s="72"/>
      <c r="E759" s="72"/>
      <c r="G759" s="71"/>
    </row>
    <row r="760" spans="1:7" ht="12.75" x14ac:dyDescent="0.2">
      <c r="A760" s="71"/>
      <c r="B760" s="72"/>
      <c r="C760" s="72"/>
      <c r="E760" s="72"/>
      <c r="G760" s="71"/>
    </row>
    <row r="761" spans="1:7" ht="12.75" x14ac:dyDescent="0.2">
      <c r="A761" s="71"/>
      <c r="B761" s="72"/>
      <c r="C761" s="72"/>
      <c r="E761" s="72"/>
      <c r="G761" s="71"/>
    </row>
    <row r="762" spans="1:7" ht="12.75" x14ac:dyDescent="0.2">
      <c r="A762" s="71"/>
      <c r="B762" s="72"/>
      <c r="C762" s="72"/>
      <c r="E762" s="72"/>
      <c r="G762" s="71"/>
    </row>
    <row r="763" spans="1:7" ht="12.75" x14ac:dyDescent="0.2">
      <c r="A763" s="71"/>
      <c r="B763" s="72"/>
      <c r="C763" s="72"/>
      <c r="E763" s="72"/>
      <c r="G763" s="71"/>
    </row>
    <row r="764" spans="1:7" ht="12.75" x14ac:dyDescent="0.2">
      <c r="A764" s="71"/>
      <c r="B764" s="72"/>
      <c r="C764" s="72"/>
      <c r="E764" s="72"/>
      <c r="G764" s="71"/>
    </row>
    <row r="765" spans="1:7" ht="12.75" x14ac:dyDescent="0.2">
      <c r="A765" s="71"/>
      <c r="B765" s="72"/>
      <c r="C765" s="72"/>
      <c r="E765" s="72"/>
      <c r="G765" s="71"/>
    </row>
    <row r="766" spans="1:7" ht="12.75" x14ac:dyDescent="0.2">
      <c r="A766" s="71"/>
      <c r="B766" s="72"/>
      <c r="C766" s="72"/>
      <c r="E766" s="72"/>
      <c r="G766" s="71"/>
    </row>
    <row r="767" spans="1:7" ht="12.75" x14ac:dyDescent="0.2">
      <c r="A767" s="71"/>
      <c r="B767" s="72"/>
      <c r="C767" s="72"/>
      <c r="E767" s="72"/>
      <c r="G767" s="71"/>
    </row>
    <row r="768" spans="1:7" ht="12.75" x14ac:dyDescent="0.2">
      <c r="A768" s="71"/>
      <c r="B768" s="72"/>
      <c r="C768" s="72"/>
      <c r="E768" s="72"/>
      <c r="G768" s="71"/>
    </row>
    <row r="769" spans="1:7" ht="12.75" x14ac:dyDescent="0.2">
      <c r="A769" s="71"/>
      <c r="B769" s="72"/>
      <c r="C769" s="72"/>
      <c r="E769" s="72"/>
      <c r="G769" s="71"/>
    </row>
    <row r="770" spans="1:7" ht="12.75" x14ac:dyDescent="0.2">
      <c r="A770" s="71"/>
      <c r="B770" s="72"/>
      <c r="C770" s="72"/>
      <c r="E770" s="72"/>
      <c r="G770" s="71"/>
    </row>
    <row r="771" spans="1:7" ht="12.75" x14ac:dyDescent="0.2">
      <c r="A771" s="71"/>
      <c r="B771" s="72"/>
      <c r="C771" s="72"/>
      <c r="E771" s="72"/>
      <c r="G771" s="71"/>
    </row>
    <row r="772" spans="1:7" ht="12.75" x14ac:dyDescent="0.2">
      <c r="A772" s="71"/>
      <c r="B772" s="72"/>
      <c r="C772" s="72"/>
      <c r="E772" s="72"/>
      <c r="G772" s="71"/>
    </row>
    <row r="773" spans="1:7" ht="12.75" x14ac:dyDescent="0.2">
      <c r="A773" s="71"/>
      <c r="B773" s="72"/>
      <c r="C773" s="72"/>
      <c r="E773" s="72"/>
      <c r="G773" s="71"/>
    </row>
    <row r="774" spans="1:7" ht="12.75" x14ac:dyDescent="0.2">
      <c r="A774" s="71"/>
      <c r="B774" s="72"/>
      <c r="C774" s="72"/>
      <c r="E774" s="72"/>
      <c r="G774" s="71"/>
    </row>
    <row r="775" spans="1:7" ht="12.75" x14ac:dyDescent="0.2">
      <c r="A775" s="71"/>
      <c r="B775" s="72"/>
      <c r="C775" s="72"/>
      <c r="E775" s="72"/>
      <c r="G775" s="71"/>
    </row>
    <row r="776" spans="1:7" ht="12.75" x14ac:dyDescent="0.2">
      <c r="A776" s="71"/>
      <c r="B776" s="72"/>
      <c r="C776" s="72"/>
      <c r="E776" s="72"/>
      <c r="G776" s="71"/>
    </row>
    <row r="777" spans="1:7" ht="12.75" x14ac:dyDescent="0.2">
      <c r="A777" s="71"/>
      <c r="B777" s="72"/>
      <c r="C777" s="72"/>
      <c r="E777" s="72"/>
      <c r="G777" s="71"/>
    </row>
    <row r="778" spans="1:7" ht="12.75" x14ac:dyDescent="0.2">
      <c r="A778" s="71"/>
      <c r="B778" s="72"/>
      <c r="C778" s="72"/>
      <c r="E778" s="72"/>
      <c r="G778" s="71"/>
    </row>
    <row r="779" spans="1:7" ht="12.75" x14ac:dyDescent="0.2">
      <c r="A779" s="71"/>
      <c r="B779" s="72"/>
      <c r="C779" s="72"/>
      <c r="E779" s="72"/>
      <c r="G779" s="71"/>
    </row>
    <row r="780" spans="1:7" ht="12.75" x14ac:dyDescent="0.2">
      <c r="A780" s="71"/>
      <c r="B780" s="72"/>
      <c r="C780" s="72"/>
      <c r="E780" s="72"/>
      <c r="G780" s="71"/>
    </row>
    <row r="781" spans="1:7" ht="12.75" x14ac:dyDescent="0.2">
      <c r="A781" s="71"/>
      <c r="B781" s="72"/>
      <c r="C781" s="72"/>
      <c r="E781" s="72"/>
      <c r="G781" s="71"/>
    </row>
    <row r="782" spans="1:7" ht="12.75" x14ac:dyDescent="0.2">
      <c r="A782" s="71"/>
      <c r="B782" s="72"/>
      <c r="C782" s="72"/>
      <c r="E782" s="72"/>
      <c r="G782" s="71"/>
    </row>
    <row r="783" spans="1:7" ht="12.75" x14ac:dyDescent="0.2">
      <c r="A783" s="71"/>
      <c r="B783" s="72"/>
      <c r="C783" s="72"/>
      <c r="E783" s="72"/>
      <c r="G783" s="71"/>
    </row>
    <row r="784" spans="1:7" ht="12.75" x14ac:dyDescent="0.2">
      <c r="A784" s="71"/>
      <c r="B784" s="72"/>
      <c r="C784" s="72"/>
      <c r="E784" s="72"/>
      <c r="G784" s="71"/>
    </row>
    <row r="785" spans="1:7" ht="12.75" x14ac:dyDescent="0.2">
      <c r="A785" s="71"/>
      <c r="B785" s="72"/>
      <c r="C785" s="72"/>
      <c r="E785" s="72"/>
      <c r="G785" s="71"/>
    </row>
    <row r="786" spans="1:7" ht="12.75" x14ac:dyDescent="0.2">
      <c r="A786" s="71"/>
      <c r="B786" s="72"/>
      <c r="C786" s="72"/>
      <c r="E786" s="72"/>
      <c r="G786" s="71"/>
    </row>
    <row r="787" spans="1:7" ht="12.75" x14ac:dyDescent="0.2">
      <c r="A787" s="71"/>
      <c r="B787" s="72"/>
      <c r="C787" s="72"/>
      <c r="E787" s="72"/>
      <c r="G787" s="71"/>
    </row>
    <row r="788" spans="1:7" ht="12.75" x14ac:dyDescent="0.2">
      <c r="A788" s="71"/>
      <c r="B788" s="72"/>
      <c r="C788" s="72"/>
      <c r="E788" s="72"/>
      <c r="G788" s="71"/>
    </row>
    <row r="789" spans="1:7" ht="12.75" x14ac:dyDescent="0.2">
      <c r="A789" s="71"/>
      <c r="B789" s="72"/>
      <c r="C789" s="72"/>
      <c r="E789" s="72"/>
      <c r="G789" s="71"/>
    </row>
    <row r="790" spans="1:7" ht="12.75" x14ac:dyDescent="0.2">
      <c r="A790" s="71"/>
      <c r="B790" s="72"/>
      <c r="C790" s="72"/>
      <c r="E790" s="72"/>
      <c r="G790" s="71"/>
    </row>
    <row r="791" spans="1:7" ht="12.75" x14ac:dyDescent="0.2">
      <c r="A791" s="71"/>
      <c r="B791" s="72"/>
      <c r="C791" s="72"/>
      <c r="E791" s="72"/>
      <c r="G791" s="71"/>
    </row>
    <row r="792" spans="1:7" ht="12.75" x14ac:dyDescent="0.2">
      <c r="A792" s="71"/>
      <c r="B792" s="72"/>
      <c r="C792" s="72"/>
      <c r="E792" s="72"/>
      <c r="G792" s="71"/>
    </row>
    <row r="793" spans="1:7" ht="12.75" x14ac:dyDescent="0.2">
      <c r="A793" s="71"/>
      <c r="B793" s="72"/>
      <c r="C793" s="72"/>
      <c r="E793" s="72"/>
      <c r="G793" s="71"/>
    </row>
    <row r="794" spans="1:7" ht="12.75" x14ac:dyDescent="0.2">
      <c r="A794" s="71"/>
      <c r="B794" s="72"/>
      <c r="C794" s="72"/>
      <c r="E794" s="72"/>
      <c r="G794" s="71"/>
    </row>
    <row r="795" spans="1:7" ht="12.75" x14ac:dyDescent="0.2">
      <c r="A795" s="71"/>
      <c r="B795" s="72"/>
      <c r="C795" s="72"/>
      <c r="E795" s="72"/>
      <c r="G795" s="71"/>
    </row>
    <row r="796" spans="1:7" ht="12.75" x14ac:dyDescent="0.2">
      <c r="A796" s="71"/>
      <c r="B796" s="72"/>
      <c r="C796" s="72"/>
      <c r="E796" s="72"/>
      <c r="G796" s="71"/>
    </row>
    <row r="797" spans="1:7" ht="12.75" x14ac:dyDescent="0.2">
      <c r="A797" s="71"/>
      <c r="B797" s="72"/>
      <c r="C797" s="72"/>
      <c r="E797" s="72"/>
      <c r="G797" s="71"/>
    </row>
    <row r="798" spans="1:7" ht="12.75" x14ac:dyDescent="0.2">
      <c r="A798" s="71"/>
      <c r="B798" s="72"/>
      <c r="C798" s="72"/>
      <c r="E798" s="72"/>
      <c r="G798" s="71"/>
    </row>
    <row r="799" spans="1:7" ht="12.75" x14ac:dyDescent="0.2">
      <c r="A799" s="71"/>
      <c r="B799" s="72"/>
      <c r="C799" s="72"/>
      <c r="E799" s="72"/>
      <c r="G799" s="71"/>
    </row>
    <row r="800" spans="1:7" ht="12.75" x14ac:dyDescent="0.2">
      <c r="A800" s="71"/>
      <c r="B800" s="72"/>
      <c r="C800" s="72"/>
      <c r="E800" s="72"/>
      <c r="G800" s="71"/>
    </row>
    <row r="801" spans="1:7" ht="12.75" x14ac:dyDescent="0.2">
      <c r="A801" s="71"/>
      <c r="B801" s="72"/>
      <c r="C801" s="72"/>
      <c r="E801" s="72"/>
      <c r="G801" s="71"/>
    </row>
    <row r="802" spans="1:7" ht="12.75" x14ac:dyDescent="0.2">
      <c r="A802" s="71"/>
      <c r="B802" s="72"/>
      <c r="C802" s="72"/>
      <c r="E802" s="72"/>
      <c r="G802" s="71"/>
    </row>
    <row r="803" spans="1:7" ht="12.75" x14ac:dyDescent="0.2">
      <c r="A803" s="71"/>
      <c r="B803" s="72"/>
      <c r="C803" s="72"/>
      <c r="E803" s="72"/>
      <c r="G803" s="71"/>
    </row>
    <row r="804" spans="1:7" ht="12.75" x14ac:dyDescent="0.2">
      <c r="A804" s="71"/>
      <c r="B804" s="72"/>
      <c r="C804" s="72"/>
      <c r="E804" s="72"/>
      <c r="G804" s="71"/>
    </row>
    <row r="805" spans="1:7" ht="12.75" x14ac:dyDescent="0.2">
      <c r="A805" s="71"/>
      <c r="B805" s="72"/>
      <c r="C805" s="72"/>
      <c r="E805" s="72"/>
      <c r="G805" s="71"/>
    </row>
    <row r="806" spans="1:7" ht="12.75" x14ac:dyDescent="0.2">
      <c r="A806" s="71"/>
      <c r="B806" s="72"/>
      <c r="C806" s="72"/>
      <c r="E806" s="72"/>
      <c r="G806" s="71"/>
    </row>
    <row r="807" spans="1:7" ht="12.75" x14ac:dyDescent="0.2">
      <c r="A807" s="71"/>
      <c r="B807" s="72"/>
      <c r="C807" s="72"/>
      <c r="E807" s="72"/>
      <c r="G807" s="71"/>
    </row>
    <row r="808" spans="1:7" ht="12.75" x14ac:dyDescent="0.2">
      <c r="A808" s="71"/>
      <c r="B808" s="72"/>
      <c r="C808" s="72"/>
      <c r="E808" s="72"/>
      <c r="G808" s="71"/>
    </row>
    <row r="809" spans="1:7" ht="12.75" x14ac:dyDescent="0.2">
      <c r="A809" s="71"/>
      <c r="B809" s="72"/>
      <c r="C809" s="72"/>
      <c r="E809" s="72"/>
      <c r="G809" s="71"/>
    </row>
    <row r="810" spans="1:7" ht="12.75" x14ac:dyDescent="0.2">
      <c r="A810" s="71"/>
      <c r="B810" s="72"/>
      <c r="C810" s="72"/>
      <c r="E810" s="72"/>
      <c r="G810" s="71"/>
    </row>
    <row r="811" spans="1:7" ht="12.75" x14ac:dyDescent="0.2">
      <c r="A811" s="71"/>
      <c r="B811" s="72"/>
      <c r="C811" s="72"/>
      <c r="E811" s="72"/>
      <c r="G811" s="71"/>
    </row>
    <row r="812" spans="1:7" ht="12.75" x14ac:dyDescent="0.2">
      <c r="A812" s="71"/>
      <c r="B812" s="72"/>
      <c r="C812" s="72"/>
      <c r="E812" s="72"/>
      <c r="G812" s="71"/>
    </row>
    <row r="813" spans="1:7" ht="12.75" x14ac:dyDescent="0.2">
      <c r="A813" s="71"/>
      <c r="B813" s="72"/>
      <c r="C813" s="72"/>
      <c r="E813" s="72"/>
      <c r="G813" s="71"/>
    </row>
    <row r="814" spans="1:7" ht="12.75" x14ac:dyDescent="0.2">
      <c r="A814" s="71"/>
      <c r="B814" s="72"/>
      <c r="C814" s="72"/>
      <c r="E814" s="72"/>
      <c r="G814" s="71"/>
    </row>
    <row r="815" spans="1:7" ht="12.75" x14ac:dyDescent="0.2">
      <c r="A815" s="71"/>
      <c r="B815" s="72"/>
      <c r="C815" s="72"/>
      <c r="E815" s="72"/>
      <c r="G815" s="71"/>
    </row>
    <row r="816" spans="1:7" ht="12.75" x14ac:dyDescent="0.2">
      <c r="A816" s="71"/>
      <c r="B816" s="72"/>
      <c r="C816" s="72"/>
      <c r="E816" s="72"/>
      <c r="G816" s="71"/>
    </row>
    <row r="817" spans="1:7" ht="12.75" x14ac:dyDescent="0.2">
      <c r="A817" s="71"/>
      <c r="B817" s="72"/>
      <c r="C817" s="72"/>
      <c r="E817" s="72"/>
      <c r="G817" s="71"/>
    </row>
    <row r="818" spans="1:7" ht="12.75" x14ac:dyDescent="0.2">
      <c r="A818" s="71"/>
      <c r="B818" s="72"/>
      <c r="C818" s="72"/>
      <c r="E818" s="72"/>
      <c r="G818" s="71"/>
    </row>
    <row r="819" spans="1:7" ht="12.75" x14ac:dyDescent="0.2">
      <c r="A819" s="71"/>
      <c r="B819" s="72"/>
      <c r="C819" s="72"/>
      <c r="E819" s="72"/>
      <c r="G819" s="71"/>
    </row>
    <row r="820" spans="1:7" ht="12.75" x14ac:dyDescent="0.2">
      <c r="A820" s="71"/>
      <c r="B820" s="72"/>
      <c r="C820" s="72"/>
      <c r="E820" s="72"/>
      <c r="G820" s="71"/>
    </row>
    <row r="821" spans="1:7" ht="12.75" x14ac:dyDescent="0.2">
      <c r="A821" s="71"/>
      <c r="B821" s="72"/>
      <c r="C821" s="72"/>
      <c r="E821" s="72"/>
      <c r="G821" s="71"/>
    </row>
    <row r="822" spans="1:7" ht="12.75" x14ac:dyDescent="0.2">
      <c r="A822" s="71"/>
      <c r="B822" s="72"/>
      <c r="C822" s="72"/>
      <c r="E822" s="72"/>
      <c r="G822" s="71"/>
    </row>
    <row r="823" spans="1:7" ht="12.75" x14ac:dyDescent="0.2">
      <c r="A823" s="71"/>
      <c r="B823" s="72"/>
      <c r="C823" s="72"/>
      <c r="E823" s="72"/>
      <c r="G823" s="71"/>
    </row>
    <row r="824" spans="1:7" ht="12.75" x14ac:dyDescent="0.2">
      <c r="A824" s="71"/>
      <c r="B824" s="72"/>
      <c r="C824" s="72"/>
      <c r="E824" s="72"/>
      <c r="G824" s="71"/>
    </row>
    <row r="825" spans="1:7" ht="12.75" x14ac:dyDescent="0.2">
      <c r="A825" s="71"/>
      <c r="B825" s="72"/>
      <c r="C825" s="72"/>
      <c r="E825" s="72"/>
      <c r="G825" s="71"/>
    </row>
    <row r="826" spans="1:7" ht="12.75" x14ac:dyDescent="0.2">
      <c r="A826" s="71"/>
      <c r="B826" s="72"/>
      <c r="C826" s="72"/>
      <c r="E826" s="72"/>
      <c r="G826" s="71"/>
    </row>
    <row r="827" spans="1:7" ht="12.75" x14ac:dyDescent="0.2">
      <c r="A827" s="71"/>
      <c r="B827" s="72"/>
      <c r="C827" s="72"/>
      <c r="E827" s="72"/>
      <c r="G827" s="71"/>
    </row>
    <row r="828" spans="1:7" ht="12.75" x14ac:dyDescent="0.2">
      <c r="A828" s="71"/>
      <c r="B828" s="72"/>
      <c r="C828" s="72"/>
      <c r="E828" s="72"/>
      <c r="G828" s="71"/>
    </row>
    <row r="829" spans="1:7" ht="12.75" x14ac:dyDescent="0.2">
      <c r="A829" s="71"/>
      <c r="B829" s="72"/>
      <c r="C829" s="72"/>
      <c r="E829" s="72"/>
      <c r="G829" s="71"/>
    </row>
    <row r="830" spans="1:7" ht="12.75" x14ac:dyDescent="0.2">
      <c r="A830" s="71"/>
      <c r="B830" s="72"/>
      <c r="C830" s="72"/>
      <c r="E830" s="72"/>
      <c r="G830" s="71"/>
    </row>
    <row r="831" spans="1:7" ht="12.75" x14ac:dyDescent="0.2">
      <c r="A831" s="71"/>
      <c r="B831" s="72"/>
      <c r="C831" s="72"/>
      <c r="E831" s="72"/>
      <c r="G831" s="71"/>
    </row>
    <row r="832" spans="1:7" ht="12.75" x14ac:dyDescent="0.2">
      <c r="A832" s="71"/>
      <c r="B832" s="72"/>
      <c r="C832" s="72"/>
      <c r="E832" s="72"/>
      <c r="G832" s="71"/>
    </row>
    <row r="833" spans="1:7" ht="12.75" x14ac:dyDescent="0.2">
      <c r="A833" s="71"/>
      <c r="B833" s="72"/>
      <c r="C833" s="72"/>
      <c r="E833" s="72"/>
      <c r="G833" s="71"/>
    </row>
    <row r="834" spans="1:7" ht="12.75" x14ac:dyDescent="0.2">
      <c r="A834" s="71"/>
      <c r="B834" s="72"/>
      <c r="C834" s="72"/>
      <c r="E834" s="72"/>
      <c r="G834" s="71"/>
    </row>
    <row r="835" spans="1:7" ht="12.75" x14ac:dyDescent="0.2">
      <c r="A835" s="71"/>
      <c r="B835" s="72"/>
      <c r="C835" s="72"/>
      <c r="E835" s="72"/>
      <c r="G835" s="71"/>
    </row>
    <row r="836" spans="1:7" ht="12.75" x14ac:dyDescent="0.2">
      <c r="A836" s="71"/>
      <c r="B836" s="72"/>
      <c r="C836" s="72"/>
      <c r="E836" s="72"/>
      <c r="G836" s="71"/>
    </row>
    <row r="837" spans="1:7" ht="12.75" x14ac:dyDescent="0.2">
      <c r="A837" s="71"/>
      <c r="B837" s="72"/>
      <c r="C837" s="72"/>
      <c r="E837" s="72"/>
      <c r="G837" s="71"/>
    </row>
    <row r="838" spans="1:7" ht="12.75" x14ac:dyDescent="0.2">
      <c r="A838" s="71"/>
      <c r="B838" s="72"/>
      <c r="C838" s="72"/>
      <c r="E838" s="72"/>
      <c r="G838" s="71"/>
    </row>
    <row r="839" spans="1:7" ht="12.75" x14ac:dyDescent="0.2">
      <c r="A839" s="71"/>
      <c r="B839" s="72"/>
      <c r="C839" s="72"/>
      <c r="E839" s="72"/>
      <c r="G839" s="71"/>
    </row>
    <row r="840" spans="1:7" ht="12.75" x14ac:dyDescent="0.2">
      <c r="A840" s="71"/>
      <c r="B840" s="72"/>
      <c r="C840" s="72"/>
      <c r="E840" s="72"/>
      <c r="G840" s="71"/>
    </row>
    <row r="841" spans="1:7" ht="12.75" x14ac:dyDescent="0.2">
      <c r="A841" s="71"/>
      <c r="B841" s="72"/>
      <c r="C841" s="72"/>
      <c r="E841" s="72"/>
      <c r="G841" s="71"/>
    </row>
    <row r="842" spans="1:7" ht="12.75" x14ac:dyDescent="0.2">
      <c r="A842" s="71"/>
      <c r="B842" s="72"/>
      <c r="C842" s="72"/>
      <c r="E842" s="72"/>
      <c r="G842" s="71"/>
    </row>
    <row r="843" spans="1:7" ht="12.75" x14ac:dyDescent="0.2">
      <c r="A843" s="71"/>
      <c r="B843" s="72"/>
      <c r="C843" s="72"/>
      <c r="E843" s="72"/>
      <c r="G843" s="71"/>
    </row>
    <row r="844" spans="1:7" ht="12.75" x14ac:dyDescent="0.2">
      <c r="A844" s="71"/>
      <c r="B844" s="72"/>
      <c r="C844" s="72"/>
      <c r="E844" s="72"/>
      <c r="G844" s="71"/>
    </row>
    <row r="845" spans="1:7" ht="12.75" x14ac:dyDescent="0.2">
      <c r="A845" s="71"/>
      <c r="B845" s="72"/>
      <c r="C845" s="72"/>
      <c r="E845" s="72"/>
      <c r="G845" s="71"/>
    </row>
    <row r="846" spans="1:7" ht="12.75" x14ac:dyDescent="0.2">
      <c r="A846" s="71"/>
      <c r="B846" s="72"/>
      <c r="C846" s="72"/>
      <c r="E846" s="72"/>
      <c r="G846" s="71"/>
    </row>
    <row r="847" spans="1:7" ht="12.75" x14ac:dyDescent="0.2">
      <c r="A847" s="71"/>
      <c r="B847" s="72"/>
      <c r="C847" s="72"/>
      <c r="E847" s="72"/>
      <c r="G847" s="71"/>
    </row>
    <row r="848" spans="1:7" ht="12.75" x14ac:dyDescent="0.2">
      <c r="A848" s="71"/>
      <c r="B848" s="72"/>
      <c r="C848" s="72"/>
      <c r="E848" s="72"/>
      <c r="G848" s="71"/>
    </row>
    <row r="849" spans="1:7" ht="12.75" x14ac:dyDescent="0.2">
      <c r="A849" s="71"/>
      <c r="B849" s="72"/>
      <c r="C849" s="72"/>
      <c r="E849" s="72"/>
      <c r="G849" s="71"/>
    </row>
    <row r="850" spans="1:7" ht="12.75" x14ac:dyDescent="0.2">
      <c r="A850" s="71"/>
      <c r="B850" s="72"/>
      <c r="C850" s="72"/>
      <c r="E850" s="72"/>
      <c r="G850" s="71"/>
    </row>
    <row r="851" spans="1:7" ht="12.75" x14ac:dyDescent="0.2">
      <c r="A851" s="71"/>
      <c r="B851" s="72"/>
      <c r="C851" s="72"/>
      <c r="E851" s="72"/>
      <c r="G851" s="71"/>
    </row>
    <row r="852" spans="1:7" ht="12.75" x14ac:dyDescent="0.2">
      <c r="A852" s="71"/>
      <c r="B852" s="72"/>
      <c r="C852" s="72"/>
      <c r="E852" s="72"/>
      <c r="G852" s="71"/>
    </row>
    <row r="853" spans="1:7" ht="12.75" x14ac:dyDescent="0.2">
      <c r="A853" s="71"/>
      <c r="B853" s="72"/>
      <c r="C853" s="72"/>
      <c r="E853" s="72"/>
      <c r="G853" s="71"/>
    </row>
    <row r="854" spans="1:7" ht="12.75" x14ac:dyDescent="0.2">
      <c r="A854" s="71"/>
      <c r="B854" s="72"/>
      <c r="C854" s="72"/>
      <c r="E854" s="72"/>
      <c r="G854" s="71"/>
    </row>
    <row r="855" spans="1:7" ht="12.75" x14ac:dyDescent="0.2">
      <c r="A855" s="71"/>
      <c r="B855" s="72"/>
      <c r="C855" s="72"/>
      <c r="E855" s="72"/>
      <c r="G855" s="71"/>
    </row>
    <row r="856" spans="1:7" ht="12.75" x14ac:dyDescent="0.2">
      <c r="A856" s="71"/>
      <c r="B856" s="72"/>
      <c r="C856" s="72"/>
      <c r="E856" s="72"/>
      <c r="G856" s="71"/>
    </row>
    <row r="857" spans="1:7" ht="12.75" x14ac:dyDescent="0.2">
      <c r="A857" s="71"/>
      <c r="B857" s="72"/>
      <c r="C857" s="72"/>
      <c r="E857" s="72"/>
      <c r="G857" s="71"/>
    </row>
    <row r="858" spans="1:7" ht="12.75" x14ac:dyDescent="0.2">
      <c r="A858" s="71"/>
      <c r="B858" s="72"/>
      <c r="C858" s="72"/>
      <c r="E858" s="72"/>
      <c r="G858" s="71"/>
    </row>
    <row r="859" spans="1:7" ht="12.75" x14ac:dyDescent="0.2">
      <c r="A859" s="71"/>
      <c r="B859" s="72"/>
      <c r="C859" s="72"/>
      <c r="E859" s="72"/>
      <c r="G859" s="71"/>
    </row>
    <row r="860" spans="1:7" ht="12.75" x14ac:dyDescent="0.2">
      <c r="A860" s="71"/>
      <c r="B860" s="72"/>
      <c r="C860" s="72"/>
      <c r="E860" s="72"/>
      <c r="G860" s="71"/>
    </row>
    <row r="861" spans="1:7" ht="12.75" x14ac:dyDescent="0.2">
      <c r="A861" s="71"/>
      <c r="B861" s="72"/>
      <c r="C861" s="72"/>
      <c r="E861" s="72"/>
      <c r="G861" s="71"/>
    </row>
    <row r="862" spans="1:7" ht="12.75" x14ac:dyDescent="0.2">
      <c r="A862" s="71"/>
      <c r="B862" s="72"/>
      <c r="C862" s="72"/>
      <c r="E862" s="72"/>
      <c r="G862" s="71"/>
    </row>
    <row r="863" spans="1:7" ht="12.75" x14ac:dyDescent="0.2">
      <c r="A863" s="71"/>
      <c r="B863" s="72"/>
      <c r="C863" s="72"/>
      <c r="E863" s="72"/>
      <c r="G863" s="71"/>
    </row>
    <row r="864" spans="1:7" ht="12.75" x14ac:dyDescent="0.2">
      <c r="A864" s="71"/>
      <c r="B864" s="72"/>
      <c r="C864" s="72"/>
      <c r="E864" s="72"/>
      <c r="G864" s="71"/>
    </row>
    <row r="865" spans="1:7" ht="12.75" x14ac:dyDescent="0.2">
      <c r="A865" s="71"/>
      <c r="B865" s="72"/>
      <c r="C865" s="72"/>
      <c r="E865" s="72"/>
      <c r="G865" s="71"/>
    </row>
    <row r="866" spans="1:7" ht="12.75" x14ac:dyDescent="0.2">
      <c r="A866" s="71"/>
      <c r="B866" s="72"/>
      <c r="C866" s="72"/>
      <c r="E866" s="72"/>
      <c r="G866" s="71"/>
    </row>
    <row r="867" spans="1:7" ht="12.75" x14ac:dyDescent="0.2">
      <c r="A867" s="71"/>
      <c r="B867" s="72"/>
      <c r="C867" s="72"/>
      <c r="E867" s="72"/>
      <c r="G867" s="71"/>
    </row>
    <row r="868" spans="1:7" ht="12.75" x14ac:dyDescent="0.2">
      <c r="A868" s="71"/>
      <c r="B868" s="72"/>
      <c r="C868" s="72"/>
      <c r="E868" s="72"/>
      <c r="G868" s="71"/>
    </row>
    <row r="869" spans="1:7" ht="12.75" x14ac:dyDescent="0.2">
      <c r="A869" s="71"/>
      <c r="B869" s="72"/>
      <c r="C869" s="72"/>
      <c r="E869" s="72"/>
      <c r="G869" s="71"/>
    </row>
    <row r="870" spans="1:7" ht="12.75" x14ac:dyDescent="0.2">
      <c r="A870" s="71"/>
      <c r="B870" s="72"/>
      <c r="C870" s="72"/>
      <c r="E870" s="72"/>
      <c r="G870" s="71"/>
    </row>
    <row r="871" spans="1:7" ht="12.75" x14ac:dyDescent="0.2">
      <c r="A871" s="71"/>
      <c r="B871" s="72"/>
      <c r="C871" s="72"/>
      <c r="E871" s="72"/>
      <c r="G871" s="71"/>
    </row>
    <row r="872" spans="1:7" ht="12.75" x14ac:dyDescent="0.2">
      <c r="A872" s="71"/>
      <c r="B872" s="72"/>
      <c r="C872" s="72"/>
      <c r="E872" s="72"/>
      <c r="G872" s="71"/>
    </row>
    <row r="873" spans="1:7" ht="12.75" x14ac:dyDescent="0.2">
      <c r="A873" s="71"/>
      <c r="B873" s="72"/>
      <c r="C873" s="72"/>
      <c r="E873" s="72"/>
      <c r="G873" s="71"/>
    </row>
    <row r="874" spans="1:7" ht="12.75" x14ac:dyDescent="0.2">
      <c r="A874" s="71"/>
      <c r="B874" s="72"/>
      <c r="C874" s="72"/>
      <c r="E874" s="72"/>
      <c r="G874" s="71"/>
    </row>
    <row r="875" spans="1:7" ht="12.75" x14ac:dyDescent="0.2">
      <c r="A875" s="71"/>
      <c r="B875" s="72"/>
      <c r="C875" s="72"/>
      <c r="E875" s="72"/>
      <c r="G875" s="71"/>
    </row>
    <row r="876" spans="1:7" ht="12.75" x14ac:dyDescent="0.2">
      <c r="A876" s="71"/>
      <c r="B876" s="72"/>
      <c r="C876" s="72"/>
      <c r="E876" s="72"/>
      <c r="G876" s="71"/>
    </row>
    <row r="877" spans="1:7" ht="12.75" x14ac:dyDescent="0.2">
      <c r="A877" s="71"/>
      <c r="B877" s="72"/>
      <c r="C877" s="72"/>
      <c r="E877" s="72"/>
      <c r="G877" s="71"/>
    </row>
    <row r="878" spans="1:7" ht="12.75" x14ac:dyDescent="0.2">
      <c r="A878" s="71"/>
      <c r="B878" s="72"/>
      <c r="C878" s="72"/>
      <c r="E878" s="72"/>
      <c r="G878" s="71"/>
    </row>
    <row r="879" spans="1:7" ht="12.75" x14ac:dyDescent="0.2">
      <c r="A879" s="71"/>
      <c r="B879" s="72"/>
      <c r="C879" s="72"/>
      <c r="E879" s="72"/>
      <c r="G879" s="71"/>
    </row>
    <row r="880" spans="1:7" ht="12.75" x14ac:dyDescent="0.2">
      <c r="A880" s="71"/>
      <c r="B880" s="72"/>
      <c r="C880" s="72"/>
      <c r="E880" s="72"/>
      <c r="G880" s="71"/>
    </row>
    <row r="881" spans="1:7" ht="12.75" x14ac:dyDescent="0.2">
      <c r="A881" s="71"/>
      <c r="B881" s="72"/>
      <c r="C881" s="72"/>
      <c r="E881" s="72"/>
      <c r="G881" s="71"/>
    </row>
    <row r="882" spans="1:7" ht="12.75" x14ac:dyDescent="0.2">
      <c r="A882" s="71"/>
      <c r="B882" s="72"/>
      <c r="C882" s="72"/>
      <c r="E882" s="72"/>
      <c r="G882" s="71"/>
    </row>
    <row r="883" spans="1:7" ht="12.75" x14ac:dyDescent="0.2">
      <c r="A883" s="71"/>
      <c r="B883" s="72"/>
      <c r="C883" s="72"/>
      <c r="E883" s="72"/>
      <c r="G883" s="71"/>
    </row>
    <row r="884" spans="1:7" ht="12.75" x14ac:dyDescent="0.2">
      <c r="A884" s="71"/>
      <c r="B884" s="72"/>
      <c r="C884" s="72"/>
      <c r="E884" s="72"/>
      <c r="G884" s="71"/>
    </row>
    <row r="885" spans="1:7" ht="12.75" x14ac:dyDescent="0.2">
      <c r="A885" s="71"/>
      <c r="B885" s="72"/>
      <c r="C885" s="72"/>
      <c r="E885" s="72"/>
      <c r="G885" s="71"/>
    </row>
    <row r="886" spans="1:7" ht="12.75" x14ac:dyDescent="0.2">
      <c r="A886" s="71"/>
      <c r="B886" s="72"/>
      <c r="C886" s="72"/>
      <c r="E886" s="72"/>
      <c r="G886" s="71"/>
    </row>
    <row r="887" spans="1:7" ht="12.75" x14ac:dyDescent="0.2">
      <c r="A887" s="71"/>
      <c r="B887" s="72"/>
      <c r="C887" s="72"/>
      <c r="E887" s="72"/>
      <c r="G887" s="71"/>
    </row>
    <row r="888" spans="1:7" ht="12.75" x14ac:dyDescent="0.2">
      <c r="A888" s="71"/>
      <c r="B888" s="72"/>
      <c r="C888" s="72"/>
      <c r="E888" s="72"/>
      <c r="G888" s="71"/>
    </row>
    <row r="889" spans="1:7" ht="12.75" x14ac:dyDescent="0.2">
      <c r="A889" s="71"/>
      <c r="B889" s="72"/>
      <c r="C889" s="72"/>
      <c r="E889" s="72"/>
      <c r="G889" s="71"/>
    </row>
    <row r="890" spans="1:7" ht="12.75" x14ac:dyDescent="0.2">
      <c r="A890" s="71"/>
      <c r="B890" s="72"/>
      <c r="C890" s="72"/>
      <c r="E890" s="72"/>
      <c r="G890" s="71"/>
    </row>
    <row r="891" spans="1:7" ht="12.75" x14ac:dyDescent="0.2">
      <c r="A891" s="71"/>
      <c r="B891" s="72"/>
      <c r="C891" s="72"/>
      <c r="E891" s="72"/>
      <c r="G891" s="71"/>
    </row>
    <row r="892" spans="1:7" ht="12.75" x14ac:dyDescent="0.2">
      <c r="A892" s="71"/>
      <c r="B892" s="72"/>
      <c r="C892" s="72"/>
      <c r="E892" s="72"/>
      <c r="G892" s="71"/>
    </row>
    <row r="893" spans="1:7" ht="12.75" x14ac:dyDescent="0.2">
      <c r="A893" s="71"/>
      <c r="B893" s="72"/>
      <c r="C893" s="72"/>
      <c r="E893" s="72"/>
      <c r="G893" s="71"/>
    </row>
    <row r="894" spans="1:7" ht="12.75" x14ac:dyDescent="0.2">
      <c r="A894" s="71"/>
      <c r="B894" s="72"/>
      <c r="C894" s="72"/>
      <c r="E894" s="72"/>
      <c r="G894" s="71"/>
    </row>
    <row r="895" spans="1:7" ht="12.75" x14ac:dyDescent="0.2">
      <c r="A895" s="71"/>
      <c r="B895" s="72"/>
      <c r="C895" s="72"/>
      <c r="E895" s="72"/>
      <c r="G895" s="71"/>
    </row>
    <row r="896" spans="1:7" ht="12.75" x14ac:dyDescent="0.2">
      <c r="A896" s="71"/>
      <c r="B896" s="72"/>
      <c r="C896" s="72"/>
      <c r="E896" s="72"/>
      <c r="G896" s="71"/>
    </row>
    <row r="897" spans="1:7" ht="12.75" x14ac:dyDescent="0.2">
      <c r="A897" s="71"/>
      <c r="B897" s="72"/>
      <c r="C897" s="72"/>
      <c r="E897" s="72"/>
      <c r="G897" s="71"/>
    </row>
    <row r="898" spans="1:7" ht="12.75" x14ac:dyDescent="0.2">
      <c r="A898" s="71"/>
      <c r="B898" s="72"/>
      <c r="C898" s="72"/>
      <c r="E898" s="72"/>
      <c r="G898" s="71"/>
    </row>
    <row r="899" spans="1:7" ht="12.75" x14ac:dyDescent="0.2">
      <c r="A899" s="71"/>
      <c r="B899" s="72"/>
      <c r="C899" s="72"/>
      <c r="E899" s="72"/>
      <c r="G899" s="71"/>
    </row>
    <row r="900" spans="1:7" ht="12.75" x14ac:dyDescent="0.2">
      <c r="A900" s="71"/>
      <c r="B900" s="72"/>
      <c r="C900" s="72"/>
      <c r="E900" s="72"/>
      <c r="G900" s="71"/>
    </row>
    <row r="901" spans="1:7" ht="12.75" x14ac:dyDescent="0.2">
      <c r="A901" s="71"/>
      <c r="B901" s="72"/>
      <c r="C901" s="72"/>
      <c r="E901" s="72"/>
      <c r="G901" s="71"/>
    </row>
    <row r="902" spans="1:7" ht="12.75" x14ac:dyDescent="0.2">
      <c r="A902" s="71"/>
      <c r="B902" s="72"/>
      <c r="C902" s="72"/>
      <c r="E902" s="72"/>
      <c r="G902" s="71"/>
    </row>
    <row r="903" spans="1:7" ht="12.75" x14ac:dyDescent="0.2">
      <c r="A903" s="71"/>
      <c r="B903" s="72"/>
      <c r="C903" s="72"/>
      <c r="E903" s="72"/>
      <c r="G903" s="71"/>
    </row>
    <row r="904" spans="1:7" ht="12.75" x14ac:dyDescent="0.2">
      <c r="A904" s="71"/>
      <c r="B904" s="72"/>
      <c r="C904" s="72"/>
      <c r="E904" s="72"/>
      <c r="G904" s="71"/>
    </row>
    <row r="905" spans="1:7" ht="12.75" x14ac:dyDescent="0.2">
      <c r="A905" s="71"/>
      <c r="B905" s="72"/>
      <c r="C905" s="72"/>
      <c r="E905" s="72"/>
      <c r="G905" s="71"/>
    </row>
    <row r="906" spans="1:7" ht="12.75" x14ac:dyDescent="0.2">
      <c r="A906" s="71"/>
      <c r="B906" s="72"/>
      <c r="C906" s="72"/>
      <c r="E906" s="72"/>
      <c r="G906" s="71"/>
    </row>
    <row r="907" spans="1:7" ht="12.75" x14ac:dyDescent="0.2">
      <c r="A907" s="71"/>
      <c r="B907" s="72"/>
      <c r="C907" s="72"/>
      <c r="E907" s="72"/>
      <c r="G907" s="71"/>
    </row>
    <row r="908" spans="1:7" ht="12.75" x14ac:dyDescent="0.2">
      <c r="A908" s="71"/>
      <c r="B908" s="72"/>
      <c r="C908" s="72"/>
      <c r="E908" s="72"/>
      <c r="G908" s="71"/>
    </row>
    <row r="909" spans="1:7" ht="12.75" x14ac:dyDescent="0.2">
      <c r="A909" s="71"/>
      <c r="B909" s="72"/>
      <c r="C909" s="72"/>
      <c r="E909" s="72"/>
      <c r="G909" s="71"/>
    </row>
    <row r="910" spans="1:7" ht="12.75" x14ac:dyDescent="0.2">
      <c r="A910" s="71"/>
      <c r="B910" s="72"/>
      <c r="C910" s="72"/>
      <c r="E910" s="72"/>
      <c r="G910" s="71"/>
    </row>
    <row r="911" spans="1:7" ht="12.75" x14ac:dyDescent="0.2">
      <c r="A911" s="71"/>
      <c r="B911" s="72"/>
      <c r="C911" s="72"/>
      <c r="E911" s="72"/>
      <c r="G911" s="71"/>
    </row>
    <row r="912" spans="1:7" ht="12.75" x14ac:dyDescent="0.2">
      <c r="A912" s="71"/>
      <c r="B912" s="72"/>
      <c r="C912" s="72"/>
      <c r="E912" s="72"/>
      <c r="G912" s="71"/>
    </row>
    <row r="913" spans="1:7" ht="12.75" x14ac:dyDescent="0.2">
      <c r="A913" s="71"/>
      <c r="B913" s="72"/>
      <c r="C913" s="72"/>
      <c r="E913" s="72"/>
      <c r="G913" s="71"/>
    </row>
    <row r="914" spans="1:7" ht="12.75" x14ac:dyDescent="0.2">
      <c r="A914" s="71"/>
      <c r="B914" s="72"/>
      <c r="C914" s="72"/>
      <c r="E914" s="72"/>
      <c r="G914" s="71"/>
    </row>
    <row r="915" spans="1:7" ht="12.75" x14ac:dyDescent="0.2">
      <c r="A915" s="71"/>
      <c r="B915" s="72"/>
      <c r="C915" s="72"/>
      <c r="E915" s="72"/>
      <c r="G915" s="71"/>
    </row>
    <row r="916" spans="1:7" ht="12.75" x14ac:dyDescent="0.2">
      <c r="A916" s="71"/>
      <c r="B916" s="72"/>
      <c r="C916" s="72"/>
      <c r="E916" s="72"/>
      <c r="G916" s="71"/>
    </row>
    <row r="917" spans="1:7" ht="12.75" x14ac:dyDescent="0.2">
      <c r="A917" s="71"/>
      <c r="B917" s="72"/>
      <c r="C917" s="72"/>
      <c r="E917" s="72"/>
      <c r="G917" s="71"/>
    </row>
    <row r="918" spans="1:7" ht="12.75" x14ac:dyDescent="0.2">
      <c r="A918" s="71"/>
      <c r="B918" s="72"/>
      <c r="C918" s="72"/>
      <c r="E918" s="72"/>
      <c r="G918" s="71"/>
    </row>
    <row r="919" spans="1:7" ht="12.75" x14ac:dyDescent="0.2">
      <c r="A919" s="71"/>
      <c r="B919" s="72"/>
      <c r="C919" s="72"/>
      <c r="E919" s="72"/>
      <c r="G919" s="71"/>
    </row>
    <row r="920" spans="1:7" ht="12.75" x14ac:dyDescent="0.2">
      <c r="A920" s="71"/>
      <c r="B920" s="72"/>
      <c r="C920" s="72"/>
      <c r="E920" s="72"/>
      <c r="G920" s="71"/>
    </row>
    <row r="921" spans="1:7" ht="12.75" x14ac:dyDescent="0.2">
      <c r="A921" s="71"/>
      <c r="B921" s="72"/>
      <c r="C921" s="72"/>
      <c r="E921" s="72"/>
      <c r="G921" s="71"/>
    </row>
    <row r="922" spans="1:7" ht="12.75" x14ac:dyDescent="0.2">
      <c r="A922" s="71"/>
      <c r="B922" s="72"/>
      <c r="C922" s="72"/>
      <c r="E922" s="72"/>
      <c r="G922" s="71"/>
    </row>
    <row r="923" spans="1:7" ht="12.75" x14ac:dyDescent="0.2">
      <c r="A923" s="71"/>
      <c r="B923" s="72"/>
      <c r="C923" s="72"/>
      <c r="E923" s="72"/>
      <c r="G923" s="71"/>
    </row>
    <row r="924" spans="1:7" ht="12.75" x14ac:dyDescent="0.2">
      <c r="A924" s="71"/>
      <c r="B924" s="72"/>
      <c r="C924" s="72"/>
      <c r="E924" s="72"/>
      <c r="G924" s="71"/>
    </row>
    <row r="925" spans="1:7" ht="12.75" x14ac:dyDescent="0.2">
      <c r="A925" s="71"/>
      <c r="B925" s="72"/>
      <c r="C925" s="72"/>
      <c r="E925" s="72"/>
      <c r="G925" s="71"/>
    </row>
    <row r="926" spans="1:7" ht="12.75" x14ac:dyDescent="0.2">
      <c r="A926" s="71"/>
      <c r="B926" s="72"/>
      <c r="C926" s="72"/>
      <c r="E926" s="72"/>
      <c r="G926" s="71"/>
    </row>
    <row r="927" spans="1:7" ht="12.75" x14ac:dyDescent="0.2">
      <c r="A927" s="71"/>
      <c r="B927" s="72"/>
      <c r="C927" s="72"/>
      <c r="E927" s="72"/>
      <c r="G927" s="71"/>
    </row>
    <row r="928" spans="1:7" ht="12.75" x14ac:dyDescent="0.2">
      <c r="A928" s="71"/>
      <c r="B928" s="72"/>
      <c r="C928" s="72"/>
      <c r="E928" s="72"/>
      <c r="G928" s="71"/>
    </row>
    <row r="929" spans="1:7" ht="12.75" x14ac:dyDescent="0.2">
      <c r="A929" s="71"/>
      <c r="B929" s="72"/>
      <c r="C929" s="72"/>
      <c r="E929" s="72"/>
      <c r="G929" s="71"/>
    </row>
    <row r="930" spans="1:7" ht="12.75" x14ac:dyDescent="0.2">
      <c r="A930" s="71"/>
      <c r="B930" s="72"/>
      <c r="C930" s="72"/>
      <c r="E930" s="72"/>
      <c r="G930" s="71"/>
    </row>
    <row r="931" spans="1:7" ht="12.75" x14ac:dyDescent="0.2">
      <c r="A931" s="71"/>
      <c r="B931" s="72"/>
      <c r="C931" s="72"/>
      <c r="E931" s="72"/>
      <c r="G931" s="71"/>
    </row>
    <row r="932" spans="1:7" ht="12.75" x14ac:dyDescent="0.2">
      <c r="A932" s="71"/>
      <c r="B932" s="72"/>
      <c r="C932" s="72"/>
      <c r="E932" s="72"/>
      <c r="G932" s="71"/>
    </row>
    <row r="933" spans="1:7" ht="12.75" x14ac:dyDescent="0.2">
      <c r="A933" s="71"/>
      <c r="B933" s="72"/>
      <c r="C933" s="72"/>
      <c r="E933" s="72"/>
      <c r="G933" s="71"/>
    </row>
    <row r="934" spans="1:7" ht="12.75" x14ac:dyDescent="0.2">
      <c r="A934" s="71"/>
      <c r="B934" s="72"/>
      <c r="C934" s="72"/>
      <c r="E934" s="72"/>
      <c r="G934" s="71"/>
    </row>
    <row r="935" spans="1:7" ht="12.75" x14ac:dyDescent="0.2">
      <c r="A935" s="71"/>
      <c r="B935" s="72"/>
      <c r="C935" s="72"/>
      <c r="E935" s="72"/>
      <c r="G935" s="71"/>
    </row>
    <row r="936" spans="1:7" ht="12.75" x14ac:dyDescent="0.2">
      <c r="A936" s="71"/>
      <c r="B936" s="72"/>
      <c r="C936" s="72"/>
      <c r="E936" s="72"/>
      <c r="G936" s="71"/>
    </row>
    <row r="937" spans="1:7" ht="12.75" x14ac:dyDescent="0.2">
      <c r="A937" s="71"/>
      <c r="B937" s="72"/>
      <c r="C937" s="72"/>
      <c r="E937" s="72"/>
      <c r="G937" s="71"/>
    </row>
    <row r="938" spans="1:7" ht="12.75" x14ac:dyDescent="0.2">
      <c r="A938" s="71"/>
      <c r="B938" s="72"/>
      <c r="C938" s="72"/>
      <c r="E938" s="72"/>
      <c r="G938" s="71"/>
    </row>
    <row r="939" spans="1:7" ht="12.75" x14ac:dyDescent="0.2">
      <c r="A939" s="71"/>
      <c r="B939" s="72"/>
      <c r="C939" s="72"/>
      <c r="E939" s="72"/>
      <c r="G939" s="71"/>
    </row>
    <row r="940" spans="1:7" ht="12.75" x14ac:dyDescent="0.2">
      <c r="A940" s="71"/>
      <c r="B940" s="72"/>
      <c r="C940" s="72"/>
      <c r="E940" s="72"/>
      <c r="G940" s="71"/>
    </row>
    <row r="941" spans="1:7" ht="12.75" x14ac:dyDescent="0.2">
      <c r="A941" s="71"/>
      <c r="B941" s="72"/>
      <c r="C941" s="72"/>
      <c r="E941" s="72"/>
      <c r="G941" s="71"/>
    </row>
    <row r="942" spans="1:7" ht="12.75" x14ac:dyDescent="0.2">
      <c r="A942" s="71"/>
      <c r="B942" s="72"/>
      <c r="C942" s="72"/>
      <c r="E942" s="72"/>
      <c r="G942" s="71"/>
    </row>
    <row r="943" spans="1:7" ht="12.75" x14ac:dyDescent="0.2">
      <c r="A943" s="71"/>
      <c r="B943" s="72"/>
      <c r="C943" s="72"/>
      <c r="E943" s="72"/>
      <c r="G943" s="71"/>
    </row>
    <row r="944" spans="1:7" ht="12.75" x14ac:dyDescent="0.2">
      <c r="A944" s="71"/>
      <c r="B944" s="72"/>
      <c r="C944" s="72"/>
      <c r="E944" s="72"/>
      <c r="G944" s="71"/>
    </row>
    <row r="945" spans="1:7" ht="12.75" x14ac:dyDescent="0.2">
      <c r="A945" s="71"/>
      <c r="B945" s="72"/>
      <c r="C945" s="72"/>
      <c r="E945" s="72"/>
      <c r="G945" s="71"/>
    </row>
    <row r="946" spans="1:7" ht="12.75" x14ac:dyDescent="0.2">
      <c r="A946" s="71"/>
      <c r="B946" s="72"/>
      <c r="C946" s="72"/>
      <c r="E946" s="72"/>
      <c r="G946" s="71"/>
    </row>
    <row r="947" spans="1:7" ht="12.75" x14ac:dyDescent="0.2">
      <c r="A947" s="71"/>
      <c r="B947" s="72"/>
      <c r="C947" s="72"/>
      <c r="E947" s="72"/>
      <c r="G947" s="71"/>
    </row>
    <row r="948" spans="1:7" ht="12.75" x14ac:dyDescent="0.2">
      <c r="A948" s="71"/>
      <c r="B948" s="72"/>
      <c r="C948" s="72"/>
      <c r="E948" s="72"/>
      <c r="G948" s="71"/>
    </row>
    <row r="949" spans="1:7" ht="12.75" x14ac:dyDescent="0.2">
      <c r="A949" s="71"/>
      <c r="B949" s="72"/>
      <c r="C949" s="72"/>
      <c r="E949" s="72"/>
      <c r="G949" s="71"/>
    </row>
    <row r="950" spans="1:7" ht="12.75" x14ac:dyDescent="0.2">
      <c r="A950" s="71"/>
      <c r="B950" s="72"/>
      <c r="C950" s="72"/>
      <c r="E950" s="72"/>
      <c r="G950" s="71"/>
    </row>
    <row r="951" spans="1:7" ht="12.75" x14ac:dyDescent="0.2">
      <c r="A951" s="71"/>
      <c r="B951" s="72"/>
      <c r="C951" s="72"/>
      <c r="E951" s="72"/>
      <c r="G951" s="71"/>
    </row>
    <row r="952" spans="1:7" ht="12.75" x14ac:dyDescent="0.2">
      <c r="A952" s="71"/>
      <c r="B952" s="72"/>
      <c r="C952" s="72"/>
      <c r="E952" s="72"/>
      <c r="G952" s="71"/>
    </row>
    <row r="953" spans="1:7" ht="12.75" x14ac:dyDescent="0.2">
      <c r="A953" s="71"/>
      <c r="B953" s="72"/>
      <c r="C953" s="72"/>
      <c r="E953" s="72"/>
      <c r="G953" s="71"/>
    </row>
    <row r="954" spans="1:7" ht="12.75" x14ac:dyDescent="0.2">
      <c r="A954" s="71"/>
      <c r="B954" s="72"/>
      <c r="C954" s="72"/>
      <c r="E954" s="72"/>
      <c r="G954" s="71"/>
    </row>
    <row r="955" spans="1:7" ht="12.75" x14ac:dyDescent="0.2">
      <c r="A955" s="71"/>
      <c r="B955" s="72"/>
      <c r="C955" s="72"/>
      <c r="E955" s="72"/>
      <c r="G955" s="71"/>
    </row>
    <row r="956" spans="1:7" ht="12.75" x14ac:dyDescent="0.2">
      <c r="A956" s="71"/>
      <c r="B956" s="72"/>
      <c r="C956" s="72"/>
      <c r="E956" s="72"/>
      <c r="G956" s="71"/>
    </row>
    <row r="957" spans="1:7" ht="12.75" x14ac:dyDescent="0.2">
      <c r="A957" s="71"/>
      <c r="B957" s="72"/>
      <c r="C957" s="72"/>
      <c r="E957" s="72"/>
      <c r="G957" s="71"/>
    </row>
    <row r="958" spans="1:7" ht="12.75" x14ac:dyDescent="0.2">
      <c r="A958" s="71"/>
      <c r="B958" s="72"/>
      <c r="C958" s="72"/>
      <c r="E958" s="72"/>
      <c r="G958" s="71"/>
    </row>
    <row r="959" spans="1:7" ht="12.75" x14ac:dyDescent="0.2">
      <c r="A959" s="71"/>
      <c r="B959" s="72"/>
      <c r="C959" s="72"/>
      <c r="E959" s="72"/>
      <c r="G959" s="71"/>
    </row>
    <row r="960" spans="1:7" ht="12.75" x14ac:dyDescent="0.2">
      <c r="A960" s="71"/>
      <c r="B960" s="72"/>
      <c r="C960" s="72"/>
      <c r="E960" s="72"/>
      <c r="G960" s="71"/>
    </row>
    <row r="961" spans="1:7" ht="12.75" x14ac:dyDescent="0.2">
      <c r="A961" s="71"/>
      <c r="B961" s="72"/>
      <c r="C961" s="72"/>
      <c r="E961" s="72"/>
      <c r="G961" s="71"/>
    </row>
    <row r="962" spans="1:7" ht="12.75" x14ac:dyDescent="0.2">
      <c r="A962" s="71"/>
      <c r="B962" s="72"/>
      <c r="C962" s="72"/>
      <c r="E962" s="72"/>
      <c r="G962" s="71"/>
    </row>
    <row r="963" spans="1:7" ht="12.75" x14ac:dyDescent="0.2">
      <c r="A963" s="71"/>
      <c r="B963" s="72"/>
      <c r="C963" s="72"/>
      <c r="E963" s="72"/>
      <c r="G963" s="71"/>
    </row>
    <row r="964" spans="1:7" ht="12.75" x14ac:dyDescent="0.2">
      <c r="A964" s="71"/>
      <c r="B964" s="72"/>
      <c r="C964" s="72"/>
      <c r="E964" s="72"/>
      <c r="G964" s="71"/>
    </row>
    <row r="965" spans="1:7" ht="12.75" x14ac:dyDescent="0.2">
      <c r="A965" s="71"/>
      <c r="B965" s="72"/>
      <c r="C965" s="72"/>
      <c r="E965" s="72"/>
      <c r="G965" s="71"/>
    </row>
    <row r="966" spans="1:7" ht="12.75" x14ac:dyDescent="0.2">
      <c r="A966" s="71"/>
      <c r="B966" s="72"/>
      <c r="C966" s="72"/>
      <c r="E966" s="72"/>
      <c r="G966" s="71"/>
    </row>
    <row r="967" spans="1:7" ht="12.75" x14ac:dyDescent="0.2">
      <c r="A967" s="71"/>
      <c r="B967" s="72"/>
      <c r="C967" s="72"/>
      <c r="E967" s="72"/>
      <c r="G967" s="71"/>
    </row>
    <row r="968" spans="1:7" ht="12.75" x14ac:dyDescent="0.2">
      <c r="A968" s="71"/>
      <c r="B968" s="72"/>
      <c r="C968" s="72"/>
      <c r="E968" s="72"/>
      <c r="G968" s="71"/>
    </row>
    <row r="969" spans="1:7" ht="12.75" x14ac:dyDescent="0.2">
      <c r="A969" s="71"/>
      <c r="B969" s="72"/>
      <c r="C969" s="72"/>
      <c r="E969" s="72"/>
      <c r="G969" s="71"/>
    </row>
    <row r="970" spans="1:7" ht="12.75" x14ac:dyDescent="0.2">
      <c r="A970" s="71"/>
      <c r="B970" s="72"/>
      <c r="C970" s="72"/>
      <c r="E970" s="72"/>
      <c r="G970" s="71"/>
    </row>
    <row r="971" spans="1:7" ht="12.75" x14ac:dyDescent="0.2">
      <c r="A971" s="71"/>
      <c r="B971" s="72"/>
      <c r="C971" s="72"/>
      <c r="E971" s="72"/>
      <c r="G971" s="71"/>
    </row>
    <row r="972" spans="1:7" ht="12.75" x14ac:dyDescent="0.2">
      <c r="A972" s="71"/>
      <c r="B972" s="72"/>
      <c r="C972" s="72"/>
      <c r="E972" s="72"/>
      <c r="G972" s="71"/>
    </row>
    <row r="973" spans="1:7" ht="12.75" x14ac:dyDescent="0.2">
      <c r="A973" s="71"/>
      <c r="B973" s="72"/>
      <c r="C973" s="72"/>
      <c r="E973" s="72"/>
      <c r="G973" s="71"/>
    </row>
    <row r="974" spans="1:7" ht="12.75" x14ac:dyDescent="0.2">
      <c r="A974" s="71"/>
      <c r="B974" s="72"/>
      <c r="C974" s="72"/>
      <c r="E974" s="72"/>
      <c r="G974" s="71"/>
    </row>
    <row r="975" spans="1:7" ht="12.75" x14ac:dyDescent="0.2">
      <c r="A975" s="71"/>
      <c r="B975" s="72"/>
      <c r="C975" s="72"/>
      <c r="E975" s="72"/>
      <c r="G975" s="71"/>
    </row>
    <row r="976" spans="1:7" ht="12.75" x14ac:dyDescent="0.2">
      <c r="A976" s="71"/>
      <c r="B976" s="72"/>
      <c r="C976" s="72"/>
      <c r="E976" s="72"/>
      <c r="G976" s="71"/>
    </row>
    <row r="977" spans="1:7" ht="12.75" x14ac:dyDescent="0.2">
      <c r="A977" s="71"/>
      <c r="B977" s="72"/>
      <c r="C977" s="72"/>
      <c r="E977" s="72"/>
      <c r="G977" s="71"/>
    </row>
    <row r="978" spans="1:7" ht="12.75" x14ac:dyDescent="0.2">
      <c r="A978" s="71"/>
      <c r="B978" s="72"/>
      <c r="C978" s="72"/>
      <c r="E978" s="72"/>
      <c r="G978" s="71"/>
    </row>
    <row r="979" spans="1:7" ht="12.75" x14ac:dyDescent="0.2">
      <c r="A979" s="71"/>
      <c r="B979" s="72"/>
      <c r="C979" s="72"/>
      <c r="E979" s="72"/>
      <c r="G979" s="71"/>
    </row>
    <row r="980" spans="1:7" ht="12.75" x14ac:dyDescent="0.2">
      <c r="A980" s="71"/>
      <c r="B980" s="72"/>
      <c r="C980" s="72"/>
      <c r="E980" s="72"/>
      <c r="G980" s="71"/>
    </row>
    <row r="981" spans="1:7" ht="12.75" x14ac:dyDescent="0.2">
      <c r="A981" s="71"/>
      <c r="B981" s="72"/>
      <c r="C981" s="72"/>
      <c r="E981" s="72"/>
      <c r="G981" s="71"/>
    </row>
    <row r="982" spans="1:7" ht="12.75" x14ac:dyDescent="0.2">
      <c r="A982" s="71"/>
      <c r="B982" s="72"/>
      <c r="C982" s="72"/>
      <c r="E982" s="72"/>
      <c r="G982" s="71"/>
    </row>
    <row r="983" spans="1:7" ht="12.75" x14ac:dyDescent="0.2">
      <c r="A983" s="71"/>
      <c r="B983" s="72"/>
      <c r="C983" s="72"/>
      <c r="E983" s="72"/>
      <c r="G983" s="71"/>
    </row>
    <row r="984" spans="1:7" ht="12.75" x14ac:dyDescent="0.2">
      <c r="A984" s="71"/>
      <c r="B984" s="72"/>
      <c r="C984" s="72"/>
      <c r="E984" s="72"/>
      <c r="G984" s="71"/>
    </row>
    <row r="985" spans="1:7" ht="12.75" x14ac:dyDescent="0.2">
      <c r="A985" s="71"/>
      <c r="B985" s="72"/>
      <c r="C985" s="72"/>
      <c r="E985" s="72"/>
      <c r="G985" s="71"/>
    </row>
    <row r="986" spans="1:7" ht="12.75" x14ac:dyDescent="0.2">
      <c r="A986" s="71"/>
      <c r="B986" s="72"/>
      <c r="C986" s="72"/>
      <c r="E986" s="72"/>
      <c r="G986" s="71"/>
    </row>
    <row r="987" spans="1:7" ht="12.75" x14ac:dyDescent="0.2">
      <c r="A987" s="71"/>
      <c r="B987" s="72"/>
      <c r="C987" s="72"/>
      <c r="E987" s="72"/>
      <c r="G987" s="71"/>
    </row>
    <row r="988" spans="1:7" ht="12.75" x14ac:dyDescent="0.2">
      <c r="A988" s="71"/>
      <c r="B988" s="72"/>
      <c r="C988" s="72"/>
      <c r="E988" s="72"/>
      <c r="G988" s="71"/>
    </row>
    <row r="989" spans="1:7" ht="12.75" x14ac:dyDescent="0.2">
      <c r="A989" s="71"/>
      <c r="B989" s="72"/>
      <c r="C989" s="72"/>
      <c r="E989" s="72"/>
      <c r="G989" s="71"/>
    </row>
    <row r="990" spans="1:7" ht="12.75" x14ac:dyDescent="0.2">
      <c r="A990" s="71"/>
      <c r="B990" s="72"/>
      <c r="C990" s="72"/>
      <c r="E990" s="72"/>
      <c r="G990" s="71"/>
    </row>
    <row r="991" spans="1:7" ht="12.75" x14ac:dyDescent="0.2">
      <c r="A991" s="71"/>
      <c r="B991" s="72"/>
      <c r="C991" s="72"/>
      <c r="E991" s="72"/>
      <c r="G991" s="71"/>
    </row>
    <row r="992" spans="1:7" ht="12.75" x14ac:dyDescent="0.2">
      <c r="A992" s="71"/>
      <c r="B992" s="72"/>
      <c r="C992" s="72"/>
      <c r="E992" s="72"/>
      <c r="G992" s="71"/>
    </row>
    <row r="993" spans="1:7" ht="12.75" x14ac:dyDescent="0.2">
      <c r="A993" s="71"/>
      <c r="B993" s="72"/>
      <c r="C993" s="72"/>
      <c r="E993" s="72"/>
      <c r="G993" s="71"/>
    </row>
    <row r="994" spans="1:7" ht="12.75" x14ac:dyDescent="0.2">
      <c r="A994" s="71"/>
      <c r="B994" s="72"/>
      <c r="C994" s="72"/>
      <c r="E994" s="72"/>
      <c r="G994" s="71"/>
    </row>
    <row r="995" spans="1:7" ht="12.75" x14ac:dyDescent="0.2">
      <c r="A995" s="71"/>
      <c r="B995" s="72"/>
      <c r="C995" s="72"/>
      <c r="E995" s="72"/>
      <c r="G995" s="71"/>
    </row>
    <row r="996" spans="1:7" ht="12.75" x14ac:dyDescent="0.2">
      <c r="A996" s="71"/>
      <c r="B996" s="72"/>
      <c r="C996" s="72"/>
      <c r="E996" s="72"/>
      <c r="G996" s="71"/>
    </row>
    <row r="997" spans="1:7" ht="12.75" x14ac:dyDescent="0.2">
      <c r="A997" s="71"/>
      <c r="B997" s="72"/>
      <c r="C997" s="72"/>
      <c r="E997" s="72"/>
      <c r="G997" s="71"/>
    </row>
    <row r="998" spans="1:7" ht="12.75" x14ac:dyDescent="0.2">
      <c r="A998" s="71"/>
      <c r="B998" s="72"/>
      <c r="C998" s="72"/>
      <c r="E998" s="72"/>
      <c r="G998" s="71"/>
    </row>
    <row r="999" spans="1:7" ht="12.75" x14ac:dyDescent="0.2">
      <c r="A999" s="71"/>
      <c r="B999" s="72"/>
      <c r="C999" s="72"/>
      <c r="E999" s="72"/>
      <c r="G999" s="71"/>
    </row>
    <row r="1000" spans="1:7" ht="12.75" x14ac:dyDescent="0.2">
      <c r="A1000" s="71"/>
      <c r="B1000" s="72"/>
      <c r="C1000" s="72"/>
      <c r="E1000" s="72"/>
      <c r="G1000" s="71"/>
    </row>
    <row r="1001" spans="1:7" ht="12.75" x14ac:dyDescent="0.2">
      <c r="A1001" s="71"/>
      <c r="B1001" s="72"/>
      <c r="C1001" s="72"/>
      <c r="E1001" s="72"/>
      <c r="G1001" s="71"/>
    </row>
    <row r="1002" spans="1:7" ht="12.75" x14ac:dyDescent="0.2">
      <c r="A1002" s="71"/>
      <c r="B1002" s="72"/>
      <c r="C1002" s="72"/>
      <c r="E1002" s="72"/>
      <c r="G1002" s="71"/>
    </row>
    <row r="1003" spans="1:7" ht="12.75" x14ac:dyDescent="0.2">
      <c r="A1003" s="71"/>
      <c r="B1003" s="72"/>
      <c r="C1003" s="72"/>
      <c r="E1003" s="72"/>
      <c r="G1003" s="71"/>
    </row>
    <row r="1004" spans="1:7" ht="12.75" x14ac:dyDescent="0.2">
      <c r="A1004" s="71"/>
      <c r="B1004" s="72"/>
      <c r="C1004" s="72"/>
      <c r="E1004" s="72"/>
      <c r="G1004" s="71"/>
    </row>
    <row r="1005" spans="1:7" ht="12.75" x14ac:dyDescent="0.2">
      <c r="A1005" s="71"/>
      <c r="B1005" s="72"/>
      <c r="C1005" s="72"/>
      <c r="E1005" s="72"/>
      <c r="G1005" s="71"/>
    </row>
    <row r="1006" spans="1:7" ht="12.75" x14ac:dyDescent="0.2">
      <c r="A1006" s="71"/>
      <c r="B1006" s="72"/>
      <c r="C1006" s="72"/>
      <c r="E1006" s="72"/>
      <c r="G1006" s="71"/>
    </row>
    <row r="1007" spans="1:7" ht="12.75" x14ac:dyDescent="0.2">
      <c r="A1007" s="71"/>
      <c r="B1007" s="72"/>
      <c r="C1007" s="72"/>
      <c r="E1007" s="72"/>
      <c r="G1007" s="71"/>
    </row>
    <row r="1008" spans="1:7" ht="12.75" x14ac:dyDescent="0.2">
      <c r="A1008" s="71"/>
      <c r="B1008" s="72"/>
      <c r="C1008" s="72"/>
      <c r="E1008" s="72"/>
      <c r="G1008" s="71"/>
    </row>
    <row r="1009" spans="1:7" ht="12.75" x14ac:dyDescent="0.2">
      <c r="A1009" s="71"/>
      <c r="B1009" s="72"/>
      <c r="C1009" s="72"/>
      <c r="E1009" s="72"/>
      <c r="G1009" s="71"/>
    </row>
    <row r="1010" spans="1:7" ht="12.75" x14ac:dyDescent="0.2">
      <c r="A1010" s="71"/>
      <c r="B1010" s="72"/>
      <c r="C1010" s="72"/>
      <c r="E1010" s="72"/>
      <c r="G1010" s="71"/>
    </row>
    <row r="1011" spans="1:7" ht="12.75" x14ac:dyDescent="0.2">
      <c r="A1011" s="71"/>
      <c r="B1011" s="72"/>
      <c r="C1011" s="72"/>
      <c r="E1011" s="72"/>
      <c r="G1011" s="71"/>
    </row>
    <row r="1012" spans="1:7" ht="12.75" x14ac:dyDescent="0.2">
      <c r="A1012" s="71"/>
      <c r="B1012" s="72"/>
      <c r="C1012" s="72"/>
      <c r="E1012" s="72"/>
      <c r="G1012" s="71"/>
    </row>
    <row r="1013" spans="1:7" ht="12.75" x14ac:dyDescent="0.2">
      <c r="A1013" s="71"/>
      <c r="B1013" s="72"/>
      <c r="C1013" s="72"/>
      <c r="E1013" s="72"/>
      <c r="G1013" s="71"/>
    </row>
    <row r="1014" spans="1:7" ht="12.75" x14ac:dyDescent="0.2">
      <c r="A1014" s="71"/>
      <c r="B1014" s="72"/>
      <c r="C1014" s="72"/>
      <c r="E1014" s="72"/>
      <c r="G1014" s="71"/>
    </row>
    <row r="1015" spans="1:7" ht="12.75" x14ac:dyDescent="0.2">
      <c r="A1015" s="71"/>
      <c r="B1015" s="72"/>
      <c r="C1015" s="72"/>
      <c r="E1015" s="72"/>
      <c r="G1015" s="71"/>
    </row>
    <row r="1016" spans="1:7" ht="12.75" x14ac:dyDescent="0.2">
      <c r="A1016" s="71"/>
      <c r="B1016" s="72"/>
      <c r="C1016" s="72"/>
      <c r="E1016" s="72"/>
      <c r="G1016" s="71"/>
    </row>
    <row r="1017" spans="1:7" ht="12.75" x14ac:dyDescent="0.2">
      <c r="A1017" s="71"/>
      <c r="B1017" s="72"/>
      <c r="C1017" s="72"/>
      <c r="E1017" s="72"/>
      <c r="G1017" s="71"/>
    </row>
    <row r="1018" spans="1:7" ht="12.75" x14ac:dyDescent="0.2">
      <c r="A1018" s="71"/>
      <c r="B1018" s="72"/>
      <c r="C1018" s="72"/>
      <c r="E1018" s="72"/>
      <c r="G1018" s="71"/>
    </row>
    <row r="1019" spans="1:7" ht="12.75" x14ac:dyDescent="0.2">
      <c r="A1019" s="71"/>
      <c r="B1019" s="72"/>
      <c r="C1019" s="72"/>
      <c r="E1019" s="72"/>
      <c r="G1019" s="71"/>
    </row>
    <row r="1020" spans="1:7" ht="12.75" x14ac:dyDescent="0.2">
      <c r="A1020" s="71"/>
      <c r="B1020" s="72"/>
      <c r="C1020" s="72"/>
      <c r="E1020" s="72"/>
      <c r="G1020" s="71"/>
    </row>
    <row r="1021" spans="1:7" ht="12.75" x14ac:dyDescent="0.2">
      <c r="A1021" s="71"/>
      <c r="B1021" s="72"/>
      <c r="C1021" s="72"/>
      <c r="E1021" s="72"/>
      <c r="G1021" s="71"/>
    </row>
    <row r="1022" spans="1:7" ht="12.75" x14ac:dyDescent="0.2">
      <c r="A1022" s="71"/>
      <c r="B1022" s="72"/>
      <c r="C1022" s="72"/>
      <c r="E1022" s="72"/>
      <c r="G1022" s="71"/>
    </row>
    <row r="1023" spans="1:7" ht="12.75" x14ac:dyDescent="0.2">
      <c r="A1023" s="71"/>
      <c r="B1023" s="72"/>
      <c r="C1023" s="72"/>
      <c r="E1023" s="72"/>
      <c r="G1023" s="71"/>
    </row>
    <row r="1024" spans="1:7" ht="12.75" x14ac:dyDescent="0.2">
      <c r="A1024" s="71"/>
      <c r="B1024" s="72"/>
      <c r="C1024" s="72"/>
      <c r="E1024" s="72"/>
      <c r="G1024" s="71"/>
    </row>
    <row r="1025" spans="1:7" ht="12.75" x14ac:dyDescent="0.2">
      <c r="A1025" s="71"/>
      <c r="B1025" s="72"/>
      <c r="C1025" s="72"/>
      <c r="E1025" s="72"/>
      <c r="G1025" s="71"/>
    </row>
    <row r="1026" spans="1:7" ht="12.75" x14ac:dyDescent="0.2">
      <c r="A1026" s="71"/>
      <c r="B1026" s="72"/>
      <c r="C1026" s="72"/>
      <c r="E1026" s="72"/>
      <c r="G1026" s="71"/>
    </row>
    <row r="1027" spans="1:7" ht="12.75" x14ac:dyDescent="0.2">
      <c r="A1027" s="71"/>
      <c r="B1027" s="72"/>
      <c r="C1027" s="72"/>
      <c r="E1027" s="72"/>
      <c r="G1027" s="71"/>
    </row>
    <row r="1028" spans="1:7" ht="12.75" x14ac:dyDescent="0.2">
      <c r="A1028" s="71"/>
      <c r="B1028" s="72"/>
      <c r="C1028" s="72"/>
      <c r="E1028" s="72"/>
      <c r="G1028" s="71"/>
    </row>
    <row r="1029" spans="1:7" ht="12.75" x14ac:dyDescent="0.2">
      <c r="A1029" s="71"/>
      <c r="B1029" s="72"/>
      <c r="C1029" s="72"/>
      <c r="E1029" s="72"/>
      <c r="G1029" s="71"/>
    </row>
    <row r="1030" spans="1:7" ht="12.75" x14ac:dyDescent="0.2">
      <c r="A1030" s="71"/>
      <c r="B1030" s="72"/>
      <c r="C1030" s="72"/>
      <c r="E1030" s="72"/>
      <c r="G1030" s="71"/>
    </row>
    <row r="1031" spans="1:7" ht="12.75" x14ac:dyDescent="0.2">
      <c r="A1031" s="71"/>
      <c r="B1031" s="72"/>
      <c r="C1031" s="72"/>
      <c r="E1031" s="72"/>
      <c r="G1031" s="71"/>
    </row>
    <row r="1032" spans="1:7" ht="12.75" x14ac:dyDescent="0.2">
      <c r="A1032" s="71"/>
      <c r="B1032" s="72"/>
      <c r="C1032" s="72"/>
      <c r="E1032" s="72"/>
      <c r="G1032" s="71"/>
    </row>
    <row r="1033" spans="1:7" ht="12.75" x14ac:dyDescent="0.2">
      <c r="A1033" s="71"/>
      <c r="B1033" s="72"/>
      <c r="C1033" s="72"/>
      <c r="E1033" s="72"/>
      <c r="G1033" s="71"/>
    </row>
    <row r="1034" spans="1:7" ht="12.75" x14ac:dyDescent="0.2">
      <c r="A1034" s="71"/>
      <c r="B1034" s="72"/>
      <c r="C1034" s="72"/>
      <c r="E1034" s="72"/>
      <c r="G1034" s="71"/>
    </row>
    <row r="1035" spans="1:7" ht="12.75" x14ac:dyDescent="0.2">
      <c r="A1035" s="71"/>
      <c r="B1035" s="72"/>
      <c r="C1035" s="72"/>
      <c r="E1035" s="72"/>
      <c r="G1035" s="71"/>
    </row>
    <row r="1036" spans="1:7" ht="12.75" x14ac:dyDescent="0.2">
      <c r="A1036" s="71"/>
      <c r="B1036" s="72"/>
      <c r="C1036" s="72"/>
      <c r="E1036" s="72"/>
      <c r="G1036" s="71"/>
    </row>
    <row r="1037" spans="1:7" ht="12.75" x14ac:dyDescent="0.2">
      <c r="A1037" s="71"/>
      <c r="B1037" s="72"/>
      <c r="C1037" s="72"/>
      <c r="E1037" s="72"/>
      <c r="G1037" s="71"/>
    </row>
    <row r="1038" spans="1:7" ht="12.75" x14ac:dyDescent="0.2">
      <c r="A1038" s="71"/>
      <c r="B1038" s="72"/>
      <c r="C1038" s="72"/>
      <c r="E1038" s="72"/>
      <c r="G1038" s="71"/>
    </row>
    <row r="1039" spans="1:7" ht="12.75" x14ac:dyDescent="0.2">
      <c r="A1039" s="71"/>
      <c r="B1039" s="72"/>
      <c r="C1039" s="72"/>
      <c r="E1039" s="72"/>
      <c r="G1039" s="71"/>
    </row>
    <row r="1040" spans="1:7" ht="12.75" x14ac:dyDescent="0.2">
      <c r="A1040" s="71"/>
      <c r="B1040" s="72"/>
      <c r="C1040" s="72"/>
      <c r="E1040" s="72"/>
      <c r="G1040" s="71"/>
    </row>
    <row r="1041" spans="1:7" ht="12.75" x14ac:dyDescent="0.2">
      <c r="A1041" s="71"/>
      <c r="B1041" s="72"/>
      <c r="C1041" s="72"/>
      <c r="E1041" s="72"/>
      <c r="G1041" s="71"/>
    </row>
    <row r="1042" spans="1:7" ht="12.75" x14ac:dyDescent="0.2">
      <c r="A1042" s="71"/>
      <c r="B1042" s="72"/>
      <c r="C1042" s="72"/>
      <c r="E1042" s="72"/>
      <c r="G1042" s="71"/>
    </row>
    <row r="1043" spans="1:7" ht="12.75" x14ac:dyDescent="0.2">
      <c r="A1043" s="71"/>
      <c r="B1043" s="72"/>
      <c r="C1043" s="72"/>
      <c r="E1043" s="72"/>
      <c r="G1043" s="71"/>
    </row>
    <row r="1044" spans="1:7" ht="12.75" x14ac:dyDescent="0.2">
      <c r="A1044" s="71"/>
      <c r="B1044" s="72"/>
      <c r="C1044" s="72"/>
      <c r="E1044" s="72"/>
      <c r="G1044" s="71"/>
    </row>
    <row r="1045" spans="1:7" ht="12.75" x14ac:dyDescent="0.2">
      <c r="A1045" s="71"/>
      <c r="B1045" s="72"/>
      <c r="C1045" s="72"/>
      <c r="E1045" s="72"/>
      <c r="G1045" s="71"/>
    </row>
    <row r="1046" spans="1:7" ht="12.75" x14ac:dyDescent="0.2">
      <c r="A1046" s="71"/>
      <c r="B1046" s="72"/>
      <c r="C1046" s="72"/>
      <c r="E1046" s="72"/>
      <c r="G1046" s="71"/>
    </row>
    <row r="1047" spans="1:7" ht="12.75" x14ac:dyDescent="0.2">
      <c r="A1047" s="71"/>
      <c r="B1047" s="72"/>
      <c r="C1047" s="72"/>
      <c r="E1047" s="72"/>
      <c r="G1047" s="71"/>
    </row>
    <row r="1048" spans="1:7" ht="12.75" x14ac:dyDescent="0.2">
      <c r="A1048" s="71"/>
      <c r="B1048" s="72"/>
      <c r="C1048" s="72"/>
      <c r="E1048" s="72"/>
      <c r="G1048" s="71"/>
    </row>
    <row r="1049" spans="1:7" ht="12.75" x14ac:dyDescent="0.2">
      <c r="A1049" s="71"/>
      <c r="B1049" s="72"/>
      <c r="C1049" s="72"/>
      <c r="E1049" s="72"/>
      <c r="G1049" s="71"/>
    </row>
    <row r="1050" spans="1:7" ht="12.75" x14ac:dyDescent="0.2">
      <c r="A1050" s="71"/>
      <c r="B1050" s="72"/>
      <c r="C1050" s="72"/>
      <c r="E1050" s="72"/>
      <c r="G1050" s="71"/>
    </row>
    <row r="1051" spans="1:7" ht="12.75" x14ac:dyDescent="0.2">
      <c r="A1051" s="71"/>
      <c r="B1051" s="72"/>
      <c r="C1051" s="72"/>
      <c r="E1051" s="72"/>
      <c r="G1051" s="71"/>
    </row>
    <row r="1052" spans="1:7" ht="12.75" x14ac:dyDescent="0.2">
      <c r="A1052" s="71"/>
      <c r="B1052" s="72"/>
      <c r="C1052" s="72"/>
      <c r="E1052" s="72"/>
      <c r="G1052" s="71"/>
    </row>
    <row r="1053" spans="1:7" ht="12.75" x14ac:dyDescent="0.2">
      <c r="A1053" s="71"/>
      <c r="B1053" s="72"/>
      <c r="C1053" s="72"/>
      <c r="E1053" s="72"/>
      <c r="G1053" s="71"/>
    </row>
    <row r="1054" spans="1:7" ht="12.75" x14ac:dyDescent="0.2">
      <c r="A1054" s="71"/>
      <c r="B1054" s="72"/>
      <c r="C1054" s="72"/>
      <c r="E1054" s="72"/>
      <c r="G1054" s="71"/>
    </row>
    <row r="1055" spans="1:7" ht="12.75" x14ac:dyDescent="0.2">
      <c r="A1055" s="71"/>
      <c r="B1055" s="72"/>
      <c r="C1055" s="72"/>
      <c r="E1055" s="72"/>
      <c r="G1055" s="71"/>
    </row>
    <row r="1056" spans="1:7" ht="12.75" x14ac:dyDescent="0.2">
      <c r="A1056" s="71"/>
      <c r="B1056" s="72"/>
      <c r="C1056" s="72"/>
      <c r="E1056" s="72"/>
      <c r="G1056" s="71"/>
    </row>
    <row r="1057" spans="1:7" ht="12.75" x14ac:dyDescent="0.2">
      <c r="A1057" s="71"/>
      <c r="B1057" s="72"/>
      <c r="C1057" s="72"/>
      <c r="E1057" s="72"/>
      <c r="G1057" s="71"/>
    </row>
    <row r="1058" spans="1:7" ht="12.75" x14ac:dyDescent="0.2">
      <c r="A1058" s="71"/>
      <c r="B1058" s="72"/>
      <c r="C1058" s="72"/>
      <c r="E1058" s="72"/>
      <c r="G1058" s="71"/>
    </row>
    <row r="1059" spans="1:7" ht="12.75" x14ac:dyDescent="0.2">
      <c r="A1059" s="71"/>
      <c r="B1059" s="72"/>
      <c r="C1059" s="72"/>
      <c r="E1059" s="72"/>
      <c r="G1059" s="71"/>
    </row>
    <row r="1060" spans="1:7" ht="12.75" x14ac:dyDescent="0.2">
      <c r="A1060" s="71"/>
      <c r="B1060" s="72"/>
      <c r="C1060" s="72"/>
      <c r="E1060" s="72"/>
      <c r="G1060" s="71"/>
    </row>
    <row r="1061" spans="1:7" ht="12.75" x14ac:dyDescent="0.2">
      <c r="A1061" s="71"/>
      <c r="B1061" s="72"/>
      <c r="C1061" s="72"/>
      <c r="E1061" s="72"/>
      <c r="G1061" s="71"/>
    </row>
    <row r="1062" spans="1:7" ht="12.75" x14ac:dyDescent="0.2">
      <c r="A1062" s="71"/>
      <c r="B1062" s="72"/>
      <c r="C1062" s="72"/>
      <c r="E1062" s="72"/>
      <c r="G1062" s="71"/>
    </row>
    <row r="1063" spans="1:7" ht="12.75" x14ac:dyDescent="0.2">
      <c r="A1063" s="71"/>
      <c r="B1063" s="72"/>
      <c r="C1063" s="72"/>
      <c r="E1063" s="72"/>
      <c r="G1063" s="71"/>
    </row>
    <row r="1064" spans="1:7" ht="12.75" x14ac:dyDescent="0.2">
      <c r="A1064" s="71"/>
      <c r="B1064" s="72"/>
      <c r="C1064" s="72"/>
      <c r="E1064" s="72"/>
      <c r="G1064" s="71"/>
    </row>
    <row r="1065" spans="1:7" ht="12.75" x14ac:dyDescent="0.2">
      <c r="A1065" s="71"/>
      <c r="B1065" s="72"/>
      <c r="C1065" s="72"/>
      <c r="E1065" s="72"/>
      <c r="G1065" s="71"/>
    </row>
    <row r="1066" spans="1:7" ht="12.75" x14ac:dyDescent="0.2">
      <c r="A1066" s="71"/>
      <c r="B1066" s="72"/>
      <c r="C1066" s="72"/>
      <c r="E1066" s="72"/>
      <c r="G1066" s="71"/>
    </row>
    <row r="1067" spans="1:7" ht="12.75" x14ac:dyDescent="0.2">
      <c r="A1067" s="71"/>
      <c r="B1067" s="72"/>
      <c r="C1067" s="72"/>
      <c r="E1067" s="72"/>
      <c r="G1067" s="71"/>
    </row>
  </sheetData>
  <mergeCells count="10">
    <mergeCell ref="C81:H81"/>
    <mergeCell ref="C82:H82"/>
    <mergeCell ref="C83:H83"/>
    <mergeCell ref="B74:C74"/>
    <mergeCell ref="C80:H80"/>
    <mergeCell ref="C79:H79"/>
    <mergeCell ref="C78:H78"/>
    <mergeCell ref="C77:H77"/>
    <mergeCell ref="C76:H76"/>
    <mergeCell ref="C75:H75"/>
  </mergeCells>
  <hyperlinks>
    <hyperlink ref="L3" r:id="rId1" xr:uid="{00000000-0004-0000-0000-000000000000}"/>
    <hyperlink ref="L4" r:id="rId2" xr:uid="{00000000-0004-0000-0000-000001000000}"/>
    <hyperlink ref="L5" r:id="rId3" xr:uid="{00000000-0004-0000-0000-000002000000}"/>
    <hyperlink ref="L6" r:id="rId4" xr:uid="{00000000-0004-0000-0000-000003000000}"/>
    <hyperlink ref="L7" r:id="rId5" xr:uid="{00000000-0004-0000-0000-000004000000}"/>
    <hyperlink ref="L8" r:id="rId6" xr:uid="{00000000-0004-0000-0000-000005000000}"/>
    <hyperlink ref="L9" r:id="rId7" xr:uid="{00000000-0004-0000-0000-000006000000}"/>
    <hyperlink ref="L10" r:id="rId8" xr:uid="{00000000-0004-0000-0000-000007000000}"/>
    <hyperlink ref="L11" r:id="rId9" xr:uid="{00000000-0004-0000-0000-000008000000}"/>
    <hyperlink ref="L12" r:id="rId10" xr:uid="{00000000-0004-0000-0000-000009000000}"/>
    <hyperlink ref="L13" r:id="rId11" xr:uid="{00000000-0004-0000-0000-00000A000000}"/>
    <hyperlink ref="L14" r:id="rId12" xr:uid="{00000000-0004-0000-0000-00000B000000}"/>
    <hyperlink ref="L15" r:id="rId13" xr:uid="{00000000-0004-0000-0000-00000C000000}"/>
    <hyperlink ref="L16" r:id="rId14" xr:uid="{00000000-0004-0000-0000-00000D000000}"/>
    <hyperlink ref="L17" r:id="rId15" xr:uid="{00000000-0004-0000-0000-00000E000000}"/>
    <hyperlink ref="L18" r:id="rId16" xr:uid="{00000000-0004-0000-0000-00000F000000}"/>
    <hyperlink ref="L19" r:id="rId17" xr:uid="{00000000-0004-0000-0000-000010000000}"/>
    <hyperlink ref="L20" r:id="rId18" xr:uid="{00000000-0004-0000-0000-000011000000}"/>
    <hyperlink ref="L21" r:id="rId19" xr:uid="{00000000-0004-0000-0000-000012000000}"/>
    <hyperlink ref="L22" r:id="rId20" xr:uid="{00000000-0004-0000-0000-000013000000}"/>
    <hyperlink ref="L23" r:id="rId21" xr:uid="{00000000-0004-0000-0000-000014000000}"/>
    <hyperlink ref="L24" r:id="rId22" xr:uid="{00000000-0004-0000-0000-000015000000}"/>
    <hyperlink ref="L25" r:id="rId23" xr:uid="{00000000-0004-0000-0000-000016000000}"/>
    <hyperlink ref="L26" r:id="rId24" xr:uid="{00000000-0004-0000-0000-000017000000}"/>
    <hyperlink ref="L27" r:id="rId25" xr:uid="{00000000-0004-0000-0000-000018000000}"/>
    <hyperlink ref="L28" r:id="rId26" xr:uid="{00000000-0004-0000-0000-000019000000}"/>
    <hyperlink ref="L29" r:id="rId27" xr:uid="{00000000-0004-0000-0000-00001A000000}"/>
    <hyperlink ref="L30" r:id="rId28" xr:uid="{00000000-0004-0000-0000-00001B000000}"/>
    <hyperlink ref="L31" r:id="rId29" xr:uid="{00000000-0004-0000-0000-00001C000000}"/>
    <hyperlink ref="L32" r:id="rId30" xr:uid="{00000000-0004-0000-0000-00001D000000}"/>
    <hyperlink ref="L33" r:id="rId31" xr:uid="{00000000-0004-0000-0000-00001E000000}"/>
    <hyperlink ref="L34" r:id="rId32" xr:uid="{00000000-0004-0000-0000-00001F000000}"/>
    <hyperlink ref="L35" r:id="rId33" xr:uid="{00000000-0004-0000-0000-000020000000}"/>
    <hyperlink ref="L36" r:id="rId34" xr:uid="{00000000-0004-0000-0000-000021000000}"/>
    <hyperlink ref="L37" r:id="rId35" xr:uid="{00000000-0004-0000-0000-000022000000}"/>
    <hyperlink ref="L38" r:id="rId36" xr:uid="{00000000-0004-0000-0000-000023000000}"/>
    <hyperlink ref="L39" r:id="rId37" xr:uid="{00000000-0004-0000-0000-000024000000}"/>
    <hyperlink ref="L40" r:id="rId38" xr:uid="{00000000-0004-0000-0000-000025000000}"/>
    <hyperlink ref="L41" r:id="rId39" xr:uid="{00000000-0004-0000-0000-000026000000}"/>
    <hyperlink ref="L42" r:id="rId40" xr:uid="{00000000-0004-0000-0000-000027000000}"/>
    <hyperlink ref="L43" r:id="rId41" xr:uid="{00000000-0004-0000-0000-000028000000}"/>
    <hyperlink ref="L44" r:id="rId42" xr:uid="{00000000-0004-0000-0000-000029000000}"/>
    <hyperlink ref="L45" r:id="rId43" xr:uid="{00000000-0004-0000-0000-00002A000000}"/>
    <hyperlink ref="L46" r:id="rId44" xr:uid="{00000000-0004-0000-0000-00002B000000}"/>
    <hyperlink ref="L47" r:id="rId45" xr:uid="{00000000-0004-0000-0000-00002C000000}"/>
    <hyperlink ref="L48" r:id="rId46" xr:uid="{00000000-0004-0000-0000-00002D000000}"/>
    <hyperlink ref="L49" r:id="rId47" xr:uid="{00000000-0004-0000-0000-00002E000000}"/>
    <hyperlink ref="L50" r:id="rId48" xr:uid="{00000000-0004-0000-0000-00002F000000}"/>
    <hyperlink ref="L51" r:id="rId49" xr:uid="{00000000-0004-0000-0000-000030000000}"/>
    <hyperlink ref="L52" r:id="rId50" xr:uid="{00000000-0004-0000-0000-000031000000}"/>
    <hyperlink ref="L53" r:id="rId51" xr:uid="{00000000-0004-0000-0000-000032000000}"/>
    <hyperlink ref="L54" r:id="rId52" xr:uid="{00000000-0004-0000-0000-000033000000}"/>
    <hyperlink ref="L55" r:id="rId53" xr:uid="{00000000-0004-0000-0000-000034000000}"/>
    <hyperlink ref="L56" r:id="rId54" xr:uid="{00000000-0004-0000-0000-000035000000}"/>
    <hyperlink ref="L57" r:id="rId55" xr:uid="{00000000-0004-0000-0000-000036000000}"/>
    <hyperlink ref="L58" r:id="rId56" xr:uid="{00000000-0004-0000-0000-000037000000}"/>
    <hyperlink ref="L59" r:id="rId57" xr:uid="{00000000-0004-0000-0000-000038000000}"/>
    <hyperlink ref="L60" r:id="rId58" xr:uid="{00000000-0004-0000-0000-000039000000}"/>
    <hyperlink ref="L61" r:id="rId59" xr:uid="{00000000-0004-0000-0000-00003A000000}"/>
    <hyperlink ref="L62" r:id="rId60" xr:uid="{00000000-0004-0000-0000-00003B000000}"/>
    <hyperlink ref="L63" r:id="rId61" xr:uid="{00000000-0004-0000-0000-00003C000000}"/>
    <hyperlink ref="L64" r:id="rId62" xr:uid="{00000000-0004-0000-0000-00003D000000}"/>
    <hyperlink ref="L65" r:id="rId63" xr:uid="{00000000-0004-0000-0000-00003E000000}"/>
    <hyperlink ref="L66" r:id="rId64" xr:uid="{00000000-0004-0000-0000-00003F000000}"/>
    <hyperlink ref="L67" r:id="rId65" xr:uid="{00000000-0004-0000-0000-000040000000}"/>
    <hyperlink ref="L68" r:id="rId66" xr:uid="{00000000-0004-0000-0000-000041000000}"/>
    <hyperlink ref="L69" r:id="rId67" xr:uid="{00000000-0004-0000-0000-000042000000}"/>
    <hyperlink ref="L70" r:id="rId68" xr:uid="{00000000-0004-0000-0000-000043000000}"/>
    <hyperlink ref="C78" r:id="rId69" xr:uid="{00000000-0004-0000-0000-000044000000}"/>
    <hyperlink ref="C80" r:id="rId70" xr:uid="{00000000-0004-0000-0000-000045000000}"/>
    <hyperlink ref="C81" r:id="rId71" xr:uid="{00000000-0004-0000-0000-000046000000}"/>
  </hyperlinks>
  <pageMargins left="0.7" right="0.7" top="0.78740157499999996" bottom="0.78740157499999996" header="0.3" footer="0.3"/>
  <legacyDrawing r:id="rId7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67"/>
  <sheetViews>
    <sheetView showGridLines="0" tabSelected="1" topLeftCell="A2" workbookViewId="0">
      <selection activeCell="C15" sqref="C15"/>
    </sheetView>
  </sheetViews>
  <sheetFormatPr baseColWidth="10" defaultColWidth="12.5703125" defaultRowHeight="15.75" customHeight="1" x14ac:dyDescent="0.2"/>
  <cols>
    <col min="1" max="1" width="3.42578125" customWidth="1"/>
    <col min="2" max="2" width="8.5703125" customWidth="1"/>
    <col min="3" max="3" width="69.28515625" customWidth="1"/>
    <col min="4" max="4" width="15.85546875" customWidth="1"/>
    <col min="5" max="5" width="10.42578125" customWidth="1"/>
    <col min="6" max="6" width="12.85546875" customWidth="1"/>
    <col min="7" max="7" width="13.42578125" customWidth="1"/>
    <col min="8" max="8" width="27.5703125" customWidth="1"/>
    <col min="9" max="9" width="20.5703125" customWidth="1"/>
    <col min="10" max="10" width="15.28515625" customWidth="1"/>
    <col min="11" max="11" width="28.42578125" customWidth="1"/>
    <col min="12" max="12" width="26.42578125" customWidth="1"/>
  </cols>
  <sheetData>
    <row r="1" spans="1:24" x14ac:dyDescent="0.2">
      <c r="A1" s="1"/>
      <c r="B1" s="2"/>
      <c r="C1" s="1"/>
      <c r="D1" s="2"/>
      <c r="E1" s="2"/>
      <c r="F1" s="2"/>
      <c r="G1" s="2"/>
      <c r="H1" s="1"/>
      <c r="I1" s="2"/>
      <c r="J1" s="3"/>
      <c r="K1" s="3"/>
      <c r="L1" s="3"/>
      <c r="M1" s="3"/>
      <c r="N1" s="3"/>
      <c r="O1" s="3"/>
      <c r="P1" s="3"/>
      <c r="Q1" s="3"/>
      <c r="R1" s="3"/>
      <c r="S1" s="3"/>
    </row>
    <row r="2" spans="1:24" ht="15.75" customHeight="1" x14ac:dyDescent="0.25">
      <c r="A2" s="4"/>
      <c r="B2" s="84" t="s">
        <v>0</v>
      </c>
      <c r="C2" s="5" t="s">
        <v>1</v>
      </c>
      <c r="D2" s="6" t="s">
        <v>2</v>
      </c>
      <c r="E2" s="6" t="s">
        <v>3</v>
      </c>
      <c r="F2" s="5" t="s">
        <v>4</v>
      </c>
      <c r="G2" s="7" t="s">
        <v>5</v>
      </c>
      <c r="H2" s="8" t="s">
        <v>6</v>
      </c>
      <c r="I2" s="9" t="s">
        <v>7</v>
      </c>
      <c r="J2" s="6" t="s">
        <v>8</v>
      </c>
      <c r="K2" s="6" t="s">
        <v>9</v>
      </c>
      <c r="L2" s="85" t="s">
        <v>10</v>
      </c>
      <c r="M2" s="4"/>
      <c r="N2" s="10" t="s">
        <v>11</v>
      </c>
      <c r="O2" s="11"/>
      <c r="P2" s="11"/>
      <c r="Q2" s="11"/>
      <c r="R2" s="11"/>
      <c r="S2" s="11"/>
      <c r="T2" s="11"/>
      <c r="U2" s="11"/>
      <c r="V2" s="11"/>
      <c r="W2" s="11"/>
      <c r="X2" s="11"/>
    </row>
    <row r="3" spans="1:24" x14ac:dyDescent="0.2">
      <c r="A3" s="4"/>
      <c r="B3" s="31">
        <v>1</v>
      </c>
      <c r="C3" s="97" t="s">
        <v>12</v>
      </c>
      <c r="D3" s="13" t="s">
        <v>13</v>
      </c>
      <c r="E3" s="13" t="s">
        <v>14</v>
      </c>
      <c r="F3" s="12" t="s">
        <v>15</v>
      </c>
      <c r="G3" s="14" t="s">
        <v>16</v>
      </c>
      <c r="H3" s="15">
        <v>1.68</v>
      </c>
      <c r="I3" s="35">
        <v>0.14000000000000001</v>
      </c>
      <c r="J3" s="17">
        <v>2.56</v>
      </c>
      <c r="K3" s="18">
        <v>0.81110000000000004</v>
      </c>
      <c r="L3" s="86" t="s">
        <v>17</v>
      </c>
      <c r="M3" s="4"/>
      <c r="N3" s="20" t="s">
        <v>18</v>
      </c>
      <c r="O3" s="11"/>
      <c r="P3" s="11"/>
      <c r="Q3" s="11"/>
      <c r="R3" s="11"/>
      <c r="S3" s="11"/>
      <c r="T3" s="11"/>
      <c r="U3" s="11"/>
      <c r="V3" s="11"/>
      <c r="W3" s="11"/>
      <c r="X3" s="11"/>
    </row>
    <row r="4" spans="1:24" x14ac:dyDescent="0.2">
      <c r="A4" s="4"/>
      <c r="B4" s="31">
        <v>2</v>
      </c>
      <c r="C4" s="21" t="s">
        <v>40</v>
      </c>
      <c r="D4" s="13" t="s">
        <v>13</v>
      </c>
      <c r="E4" s="13" t="s">
        <v>14</v>
      </c>
      <c r="F4" s="12" t="s">
        <v>41</v>
      </c>
      <c r="G4" s="14" t="s">
        <v>33</v>
      </c>
      <c r="H4" s="15">
        <v>1.44</v>
      </c>
      <c r="I4" s="35">
        <v>0.14000000000000001</v>
      </c>
      <c r="J4" s="23">
        <v>2.2000000000000002</v>
      </c>
      <c r="K4" s="24">
        <v>1.6425000000000001</v>
      </c>
      <c r="L4" s="87" t="s">
        <v>42</v>
      </c>
      <c r="M4" s="4"/>
      <c r="N4" s="26" t="s">
        <v>23</v>
      </c>
      <c r="O4" s="11"/>
      <c r="P4" s="11"/>
      <c r="Q4" s="11"/>
      <c r="R4" s="11"/>
      <c r="S4" s="11"/>
      <c r="T4" s="11"/>
      <c r="U4" s="11"/>
      <c r="V4" s="11"/>
      <c r="W4" s="11"/>
      <c r="X4" s="11"/>
    </row>
    <row r="5" spans="1:24" x14ac:dyDescent="0.2">
      <c r="A5" s="4"/>
      <c r="B5" s="31">
        <v>3</v>
      </c>
      <c r="C5" s="97" t="s">
        <v>30</v>
      </c>
      <c r="D5" s="13" t="s">
        <v>126</v>
      </c>
      <c r="E5" s="13" t="s">
        <v>14</v>
      </c>
      <c r="F5" s="12" t="s">
        <v>32</v>
      </c>
      <c r="G5" s="14" t="s">
        <v>33</v>
      </c>
      <c r="H5" s="15">
        <v>1.44</v>
      </c>
      <c r="I5" s="22">
        <v>0.24</v>
      </c>
      <c r="J5" s="17">
        <v>2.2599999999999998</v>
      </c>
      <c r="K5" s="18">
        <v>0.71709999999999996</v>
      </c>
      <c r="L5" s="88" t="s">
        <v>34</v>
      </c>
      <c r="M5" s="4"/>
      <c r="N5" s="28" t="s">
        <v>29</v>
      </c>
      <c r="O5" s="11"/>
      <c r="P5" s="11"/>
      <c r="Q5" s="11"/>
      <c r="R5" s="11"/>
      <c r="S5" s="11"/>
      <c r="T5" s="11"/>
      <c r="U5" s="11"/>
      <c r="V5" s="11"/>
      <c r="W5" s="11"/>
      <c r="X5" s="11"/>
    </row>
    <row r="6" spans="1:24" x14ac:dyDescent="0.2">
      <c r="A6" s="4"/>
      <c r="B6" s="31">
        <v>4</v>
      </c>
      <c r="C6" s="21" t="s">
        <v>36</v>
      </c>
      <c r="D6" s="13" t="s">
        <v>37</v>
      </c>
      <c r="E6" s="13" t="s">
        <v>14</v>
      </c>
      <c r="F6" s="12" t="s">
        <v>38</v>
      </c>
      <c r="G6" s="14" t="s">
        <v>33</v>
      </c>
      <c r="H6" s="15">
        <v>1.44</v>
      </c>
      <c r="I6" s="35">
        <v>0.1</v>
      </c>
      <c r="J6" s="17">
        <v>2.2599999999999998</v>
      </c>
      <c r="K6" s="37">
        <v>4.1099999999999998E-2</v>
      </c>
      <c r="L6" s="89" t="s">
        <v>39</v>
      </c>
      <c r="M6" s="4"/>
      <c r="N6" s="36" t="s">
        <v>35</v>
      </c>
      <c r="O6" s="11"/>
      <c r="P6" s="11"/>
      <c r="Q6" s="11"/>
      <c r="R6" s="11"/>
      <c r="S6" s="11"/>
      <c r="T6" s="11"/>
      <c r="U6" s="11"/>
      <c r="V6" s="11"/>
      <c r="W6" s="11"/>
      <c r="X6" s="11"/>
    </row>
    <row r="7" spans="1:24" x14ac:dyDescent="0.2">
      <c r="A7" s="4"/>
      <c r="B7" s="31">
        <v>5</v>
      </c>
      <c r="C7" s="21" t="s">
        <v>19</v>
      </c>
      <c r="D7" s="13" t="s">
        <v>13</v>
      </c>
      <c r="E7" s="13" t="s">
        <v>14</v>
      </c>
      <c r="F7" s="12" t="s">
        <v>20</v>
      </c>
      <c r="G7" s="14" t="s">
        <v>21</v>
      </c>
      <c r="H7" s="15">
        <v>1.36</v>
      </c>
      <c r="I7" s="22">
        <v>0.20019999999999999</v>
      </c>
      <c r="J7" s="23">
        <v>2.2000000000000002</v>
      </c>
      <c r="K7" s="24">
        <v>2.0358999999999998</v>
      </c>
      <c r="L7" s="88" t="s">
        <v>22</v>
      </c>
      <c r="M7" s="11"/>
      <c r="N7" s="11"/>
      <c r="O7" s="11"/>
      <c r="P7" s="11"/>
      <c r="Q7" s="11"/>
      <c r="R7" s="11"/>
      <c r="S7" s="11"/>
      <c r="T7" s="11"/>
      <c r="U7" s="11"/>
      <c r="V7" s="11"/>
      <c r="W7" s="11"/>
      <c r="X7" s="11"/>
    </row>
    <row r="8" spans="1:24" x14ac:dyDescent="0.2">
      <c r="A8" s="4"/>
      <c r="B8" s="31">
        <v>6</v>
      </c>
      <c r="C8" s="21" t="s">
        <v>43</v>
      </c>
      <c r="D8" s="13" t="s">
        <v>167</v>
      </c>
      <c r="E8" s="13" t="s">
        <v>45</v>
      </c>
      <c r="F8" s="12" t="s">
        <v>46</v>
      </c>
      <c r="G8" s="14" t="s">
        <v>47</v>
      </c>
      <c r="H8" s="15">
        <v>1.36</v>
      </c>
      <c r="I8" s="35">
        <v>0.1</v>
      </c>
      <c r="J8" s="17">
        <v>2.5499999999999998</v>
      </c>
      <c r="K8" s="41">
        <v>0.12570000000000001</v>
      </c>
      <c r="L8" s="88" t="s">
        <v>48</v>
      </c>
      <c r="M8" s="11"/>
      <c r="N8" s="11"/>
      <c r="O8" s="11"/>
      <c r="P8" s="11"/>
      <c r="Q8" s="11"/>
      <c r="R8" s="11"/>
      <c r="S8" s="11"/>
      <c r="T8" s="11"/>
      <c r="U8" s="11"/>
      <c r="V8" s="11"/>
      <c r="W8" s="11"/>
      <c r="X8" s="11"/>
    </row>
    <row r="9" spans="1:24" x14ac:dyDescent="0.2">
      <c r="A9" s="4"/>
      <c r="B9" s="31">
        <v>7</v>
      </c>
      <c r="C9" s="21" t="s">
        <v>49</v>
      </c>
      <c r="D9" s="13" t="s">
        <v>37</v>
      </c>
      <c r="E9" s="13" t="s">
        <v>45</v>
      </c>
      <c r="F9" s="12" t="s">
        <v>50</v>
      </c>
      <c r="G9" s="14" t="s">
        <v>47</v>
      </c>
      <c r="H9" s="40">
        <v>1.36</v>
      </c>
      <c r="I9" s="35">
        <v>0.14000000000000001</v>
      </c>
      <c r="J9" s="17">
        <v>2.54</v>
      </c>
      <c r="K9" s="41">
        <f>H9/2737*365</f>
        <v>0.1813664596273292</v>
      </c>
      <c r="L9" s="88" t="s">
        <v>51</v>
      </c>
      <c r="M9" s="11"/>
      <c r="N9" s="11"/>
      <c r="O9" s="11"/>
      <c r="P9" s="11"/>
      <c r="Q9" s="11"/>
      <c r="R9" s="11"/>
      <c r="S9" s="11"/>
      <c r="T9" s="11"/>
      <c r="U9" s="11"/>
      <c r="V9" s="11"/>
      <c r="W9" s="11"/>
      <c r="X9" s="11"/>
    </row>
    <row r="10" spans="1:24" x14ac:dyDescent="0.2">
      <c r="A10" s="4"/>
      <c r="B10" s="31">
        <v>8</v>
      </c>
      <c r="C10" s="21" t="s">
        <v>52</v>
      </c>
      <c r="D10" s="13" t="s">
        <v>53</v>
      </c>
      <c r="E10" s="13" t="s">
        <v>45</v>
      </c>
      <c r="F10" s="12" t="s">
        <v>54</v>
      </c>
      <c r="G10" s="14" t="s">
        <v>55</v>
      </c>
      <c r="H10" s="40">
        <v>1.3</v>
      </c>
      <c r="I10" s="35">
        <v>0.1</v>
      </c>
      <c r="J10" s="17">
        <v>2.44</v>
      </c>
      <c r="K10" s="24">
        <v>16.312100000000001</v>
      </c>
      <c r="L10" s="90" t="s">
        <v>56</v>
      </c>
      <c r="M10" s="11"/>
      <c r="N10" s="11"/>
      <c r="O10" s="11"/>
      <c r="P10" s="11"/>
      <c r="Q10" s="11"/>
      <c r="R10" s="11"/>
      <c r="S10" s="11"/>
      <c r="T10" s="11"/>
      <c r="U10" s="11"/>
      <c r="V10" s="11"/>
      <c r="W10" s="11"/>
      <c r="X10" s="11"/>
    </row>
    <row r="11" spans="1:24" x14ac:dyDescent="0.2">
      <c r="A11" s="4"/>
      <c r="B11" s="31">
        <v>9</v>
      </c>
      <c r="C11" s="21" t="s">
        <v>57</v>
      </c>
      <c r="D11" s="13" t="s">
        <v>25</v>
      </c>
      <c r="E11" s="13" t="s">
        <v>45</v>
      </c>
      <c r="F11" s="12" t="s">
        <v>58</v>
      </c>
      <c r="G11" s="14" t="s">
        <v>55</v>
      </c>
      <c r="H11" s="40">
        <v>1.3</v>
      </c>
      <c r="I11" s="35">
        <v>0.1</v>
      </c>
      <c r="J11" s="17">
        <v>2.44</v>
      </c>
      <c r="K11" s="24">
        <v>7.9082999999999997</v>
      </c>
      <c r="L11" s="88" t="s">
        <v>59</v>
      </c>
      <c r="M11" s="11"/>
      <c r="N11" s="11"/>
      <c r="O11" s="11"/>
      <c r="P11" s="11"/>
      <c r="Q11" s="11"/>
      <c r="R11" s="11"/>
      <c r="S11" s="11"/>
      <c r="T11" s="11"/>
      <c r="U11" s="11"/>
      <c r="V11" s="11"/>
      <c r="W11" s="11"/>
      <c r="X11" s="11"/>
    </row>
    <row r="12" spans="1:24" x14ac:dyDescent="0.2">
      <c r="A12" s="4"/>
      <c r="B12" s="31">
        <v>10</v>
      </c>
      <c r="C12" s="21" t="s">
        <v>60</v>
      </c>
      <c r="D12" s="13" t="s">
        <v>31</v>
      </c>
      <c r="E12" s="13" t="s">
        <v>45</v>
      </c>
      <c r="F12" s="12" t="s">
        <v>61</v>
      </c>
      <c r="G12" s="14" t="s">
        <v>55</v>
      </c>
      <c r="H12" s="40">
        <v>1.3</v>
      </c>
      <c r="I12" s="35">
        <v>0.1</v>
      </c>
      <c r="J12" s="17">
        <v>2.44</v>
      </c>
      <c r="K12" s="18">
        <v>0.62429999999999997</v>
      </c>
      <c r="L12" s="90" t="s">
        <v>62</v>
      </c>
      <c r="M12" s="11"/>
      <c r="N12" s="11"/>
      <c r="O12" s="11"/>
      <c r="P12" s="11"/>
      <c r="Q12" s="11"/>
      <c r="R12" s="11"/>
      <c r="S12" s="11"/>
      <c r="T12" s="11"/>
      <c r="U12" s="11"/>
      <c r="V12" s="11"/>
      <c r="W12" s="11"/>
      <c r="X12" s="11"/>
    </row>
    <row r="13" spans="1:24" x14ac:dyDescent="0.2">
      <c r="A13" s="4"/>
      <c r="B13" s="31">
        <v>11</v>
      </c>
      <c r="C13" s="21" t="s">
        <v>63</v>
      </c>
      <c r="D13" s="13" t="s">
        <v>37</v>
      </c>
      <c r="E13" s="13" t="s">
        <v>45</v>
      </c>
      <c r="F13" s="12" t="s">
        <v>64</v>
      </c>
      <c r="G13" s="14" t="s">
        <v>65</v>
      </c>
      <c r="H13" s="40">
        <v>1.24</v>
      </c>
      <c r="I13" s="35">
        <v>0.1</v>
      </c>
      <c r="J13" s="17">
        <v>2.34</v>
      </c>
      <c r="K13" s="41">
        <f>H13/8030*365</f>
        <v>5.6363636363636366E-2</v>
      </c>
      <c r="L13" s="90" t="s">
        <v>66</v>
      </c>
      <c r="M13" s="11"/>
      <c r="N13" s="11"/>
      <c r="O13" s="11"/>
      <c r="P13" s="11"/>
      <c r="Q13" s="11"/>
      <c r="R13" s="11"/>
      <c r="S13" s="11"/>
      <c r="T13" s="11"/>
      <c r="U13" s="11"/>
      <c r="V13" s="11"/>
      <c r="W13" s="11"/>
      <c r="X13" s="11"/>
    </row>
    <row r="14" spans="1:24" x14ac:dyDescent="0.2">
      <c r="A14" s="4"/>
      <c r="B14" s="31">
        <v>12</v>
      </c>
      <c r="C14" s="21" t="s">
        <v>71</v>
      </c>
      <c r="D14" s="13" t="s">
        <v>13</v>
      </c>
      <c r="E14" s="13" t="s">
        <v>14</v>
      </c>
      <c r="F14" s="12" t="s">
        <v>72</v>
      </c>
      <c r="G14" s="14" t="s">
        <v>73</v>
      </c>
      <c r="H14" s="40">
        <v>1.2</v>
      </c>
      <c r="I14" s="35">
        <v>0.1</v>
      </c>
      <c r="J14" s="23">
        <v>2</v>
      </c>
      <c r="K14" s="24">
        <v>4.0556000000000001</v>
      </c>
      <c r="L14" s="91" t="s">
        <v>74</v>
      </c>
      <c r="M14" s="11"/>
      <c r="N14" s="11"/>
      <c r="O14" s="11"/>
      <c r="P14" s="11"/>
      <c r="Q14" s="11"/>
      <c r="R14" s="11"/>
      <c r="S14" s="11"/>
      <c r="T14" s="11"/>
      <c r="U14" s="11"/>
      <c r="V14" s="11"/>
      <c r="W14" s="11"/>
      <c r="X14" s="11"/>
    </row>
    <row r="15" spans="1:24" x14ac:dyDescent="0.2">
      <c r="A15" s="4"/>
      <c r="B15" s="31">
        <v>13</v>
      </c>
      <c r="C15" s="21" t="s">
        <v>67</v>
      </c>
      <c r="D15" s="13" t="s">
        <v>25</v>
      </c>
      <c r="E15" s="13" t="s">
        <v>45</v>
      </c>
      <c r="F15" s="12" t="s">
        <v>68</v>
      </c>
      <c r="G15" s="14" t="s">
        <v>69</v>
      </c>
      <c r="H15" s="40">
        <v>1.18</v>
      </c>
      <c r="I15" s="35">
        <v>0.12</v>
      </c>
      <c r="J15" s="17">
        <v>2.2599999999999998</v>
      </c>
      <c r="K15" s="24">
        <v>6.5258000000000003</v>
      </c>
      <c r="L15" s="90" t="s">
        <v>70</v>
      </c>
      <c r="M15" s="11"/>
      <c r="N15" s="11"/>
      <c r="O15" s="11"/>
      <c r="P15" s="11"/>
      <c r="Q15" s="11"/>
      <c r="R15" s="11"/>
      <c r="S15" s="11"/>
      <c r="T15" s="11"/>
      <c r="U15" s="11"/>
      <c r="V15" s="11"/>
      <c r="W15" s="11"/>
      <c r="X15" s="11"/>
    </row>
    <row r="16" spans="1:24" x14ac:dyDescent="0.2">
      <c r="A16" s="4"/>
      <c r="B16" s="31">
        <v>14</v>
      </c>
      <c r="C16" s="21" t="s">
        <v>75</v>
      </c>
      <c r="D16" s="13" t="s">
        <v>76</v>
      </c>
      <c r="E16" s="13" t="s">
        <v>14</v>
      </c>
      <c r="F16" s="12" t="s">
        <v>77</v>
      </c>
      <c r="G16" s="14" t="s">
        <v>78</v>
      </c>
      <c r="H16" s="40">
        <v>1.1200000000000001</v>
      </c>
      <c r="I16" s="35">
        <v>0.1</v>
      </c>
      <c r="J16" s="23">
        <v>1.92</v>
      </c>
      <c r="K16" s="24">
        <v>4.8094000000000001</v>
      </c>
      <c r="L16" s="88" t="s">
        <v>79</v>
      </c>
      <c r="M16" s="11"/>
      <c r="N16" s="11"/>
      <c r="Q16" s="1"/>
      <c r="R16" s="1"/>
      <c r="S16" s="1"/>
      <c r="T16" s="1"/>
      <c r="U16" s="1"/>
      <c r="V16" s="1"/>
      <c r="W16" s="1"/>
      <c r="X16" s="1"/>
    </row>
    <row r="17" spans="1:24" x14ac:dyDescent="0.2">
      <c r="A17" s="4"/>
      <c r="B17" s="31">
        <v>15</v>
      </c>
      <c r="C17" s="21" t="s">
        <v>80</v>
      </c>
      <c r="D17" s="13" t="s">
        <v>25</v>
      </c>
      <c r="E17" s="13" t="s">
        <v>14</v>
      </c>
      <c r="F17" s="12" t="s">
        <v>81</v>
      </c>
      <c r="G17" s="14" t="s">
        <v>78</v>
      </c>
      <c r="H17" s="40">
        <v>1.1200000000000001</v>
      </c>
      <c r="I17" s="16">
        <v>0.18</v>
      </c>
      <c r="J17" s="23">
        <v>1.92</v>
      </c>
      <c r="K17" s="24">
        <v>1.5310999999999999</v>
      </c>
      <c r="L17" s="88" t="s">
        <v>82</v>
      </c>
      <c r="M17" s="11"/>
      <c r="N17" s="11"/>
      <c r="Q17" s="1"/>
      <c r="R17" s="1"/>
      <c r="S17" s="1"/>
      <c r="T17" s="1"/>
      <c r="U17" s="1"/>
      <c r="V17" s="1"/>
      <c r="W17" s="1"/>
      <c r="X17" s="1"/>
    </row>
    <row r="18" spans="1:24" x14ac:dyDescent="0.2">
      <c r="A18" s="4"/>
      <c r="B18" s="31">
        <v>16</v>
      </c>
      <c r="C18" s="21" t="s">
        <v>83</v>
      </c>
      <c r="D18" s="13" t="s">
        <v>84</v>
      </c>
      <c r="E18" s="13" t="s">
        <v>14</v>
      </c>
      <c r="F18" s="12" t="s">
        <v>85</v>
      </c>
      <c r="G18" s="14" t="s">
        <v>78</v>
      </c>
      <c r="H18" s="40">
        <v>1.1200000000000001</v>
      </c>
      <c r="I18" s="16">
        <v>0.16</v>
      </c>
      <c r="J18" s="23">
        <v>1.92</v>
      </c>
      <c r="K18" s="18">
        <v>0.54220000000000002</v>
      </c>
      <c r="L18" s="88" t="s">
        <v>86</v>
      </c>
      <c r="M18" s="11"/>
      <c r="N18" s="11"/>
      <c r="Q18" s="1"/>
      <c r="R18" s="1"/>
      <c r="S18" s="1"/>
      <c r="T18" s="1"/>
      <c r="U18" s="1"/>
      <c r="V18" s="1"/>
      <c r="W18" s="1"/>
      <c r="X18" s="1"/>
    </row>
    <row r="19" spans="1:24" x14ac:dyDescent="0.2">
      <c r="A19" s="4"/>
      <c r="B19" s="31">
        <v>17</v>
      </c>
      <c r="C19" s="21" t="s">
        <v>87</v>
      </c>
      <c r="D19" s="13" t="s">
        <v>126</v>
      </c>
      <c r="E19" s="13" t="s">
        <v>45</v>
      </c>
      <c r="F19" s="12" t="s">
        <v>88</v>
      </c>
      <c r="G19" s="14" t="s">
        <v>89</v>
      </c>
      <c r="H19" s="40">
        <v>1.1200000000000001</v>
      </c>
      <c r="I19" s="43">
        <v>0.08</v>
      </c>
      <c r="J19" s="23">
        <v>2.17</v>
      </c>
      <c r="K19" s="18">
        <f>H19/1095*365</f>
        <v>0.37333333333333335</v>
      </c>
      <c r="L19" s="88" t="s">
        <v>90</v>
      </c>
      <c r="M19" s="11"/>
      <c r="N19" s="11"/>
      <c r="Q19" s="1"/>
      <c r="R19" s="1"/>
      <c r="S19" s="1"/>
      <c r="T19" s="1"/>
      <c r="U19" s="1"/>
      <c r="V19" s="1"/>
      <c r="W19" s="1"/>
      <c r="X19" s="1"/>
    </row>
    <row r="20" spans="1:24" x14ac:dyDescent="0.2">
      <c r="A20" s="4"/>
      <c r="B20" s="31">
        <v>18</v>
      </c>
      <c r="C20" s="21" t="s">
        <v>91</v>
      </c>
      <c r="D20" s="13" t="s">
        <v>92</v>
      </c>
      <c r="E20" s="13" t="s">
        <v>14</v>
      </c>
      <c r="F20" s="12" t="s">
        <v>93</v>
      </c>
      <c r="G20" s="14" t="s">
        <v>78</v>
      </c>
      <c r="H20" s="40">
        <v>1.1200000000000001</v>
      </c>
      <c r="I20" s="16">
        <v>0.18</v>
      </c>
      <c r="J20" s="23">
        <v>1.92</v>
      </c>
      <c r="K20" s="41">
        <v>0.14449999999999999</v>
      </c>
      <c r="L20" s="90" t="s">
        <v>94</v>
      </c>
      <c r="M20" s="11"/>
      <c r="N20" s="11"/>
      <c r="Q20" s="1"/>
      <c r="R20" s="1"/>
      <c r="S20" s="1"/>
      <c r="T20" s="1"/>
      <c r="U20" s="1"/>
      <c r="V20" s="1"/>
      <c r="W20" s="1"/>
      <c r="X20" s="1"/>
    </row>
    <row r="21" spans="1:24" x14ac:dyDescent="0.2">
      <c r="A21" s="4"/>
      <c r="B21" s="31">
        <v>19</v>
      </c>
      <c r="C21" s="21" t="s">
        <v>99</v>
      </c>
      <c r="D21" s="13" t="s">
        <v>13</v>
      </c>
      <c r="E21" s="13" t="s">
        <v>45</v>
      </c>
      <c r="F21" s="12" t="s">
        <v>100</v>
      </c>
      <c r="G21" s="14" t="s">
        <v>101</v>
      </c>
      <c r="H21" s="40">
        <v>1.06</v>
      </c>
      <c r="I21" s="43">
        <v>0.08</v>
      </c>
      <c r="J21" s="23">
        <v>2.08</v>
      </c>
      <c r="K21" s="24">
        <v>1.4172</v>
      </c>
      <c r="L21" s="90" t="s">
        <v>102</v>
      </c>
      <c r="M21" s="11"/>
      <c r="N21" s="11"/>
      <c r="O21" s="11"/>
      <c r="P21" s="11"/>
      <c r="Q21" s="11"/>
      <c r="R21" s="11"/>
      <c r="S21" s="11"/>
      <c r="T21" s="11"/>
      <c r="U21" s="11"/>
      <c r="V21" s="11"/>
      <c r="W21" s="11"/>
      <c r="X21" s="11"/>
    </row>
    <row r="22" spans="1:24" x14ac:dyDescent="0.2">
      <c r="A22" s="4"/>
      <c r="B22" s="31">
        <v>20</v>
      </c>
      <c r="C22" s="21" t="s">
        <v>103</v>
      </c>
      <c r="D22" s="13" t="s">
        <v>13</v>
      </c>
      <c r="E22" s="13" t="s">
        <v>45</v>
      </c>
      <c r="F22" s="12" t="s">
        <v>104</v>
      </c>
      <c r="G22" s="14" t="s">
        <v>101</v>
      </c>
      <c r="H22" s="40">
        <v>1.06</v>
      </c>
      <c r="I22" s="16">
        <v>0.16</v>
      </c>
      <c r="J22" s="23">
        <v>2.08</v>
      </c>
      <c r="K22" s="18">
        <v>0.78639999999999999</v>
      </c>
      <c r="L22" s="88" t="s">
        <v>105</v>
      </c>
      <c r="M22" s="11"/>
      <c r="N22" s="11"/>
      <c r="O22" s="11"/>
      <c r="P22" s="11"/>
      <c r="Q22" s="11"/>
      <c r="R22" s="11"/>
      <c r="S22" s="11"/>
      <c r="T22" s="11"/>
      <c r="U22" s="11"/>
      <c r="V22" s="11"/>
      <c r="W22" s="11"/>
      <c r="X22" s="11"/>
    </row>
    <row r="23" spans="1:24" x14ac:dyDescent="0.2">
      <c r="A23" s="4"/>
      <c r="B23" s="31">
        <v>21</v>
      </c>
      <c r="C23" s="21" t="s">
        <v>95</v>
      </c>
      <c r="D23" s="13" t="s">
        <v>126</v>
      </c>
      <c r="E23" s="13" t="s">
        <v>14</v>
      </c>
      <c r="F23" s="12" t="s">
        <v>96</v>
      </c>
      <c r="G23" s="14" t="s">
        <v>97</v>
      </c>
      <c r="H23" s="40">
        <v>1.04</v>
      </c>
      <c r="I23" s="16">
        <v>0.16</v>
      </c>
      <c r="J23" s="23">
        <v>1.84</v>
      </c>
      <c r="K23" s="24">
        <v>1.3366</v>
      </c>
      <c r="L23" s="87" t="s">
        <v>98</v>
      </c>
      <c r="M23" s="11"/>
      <c r="N23" s="11"/>
      <c r="O23" s="11"/>
      <c r="P23" s="11"/>
      <c r="Q23" s="11"/>
      <c r="R23" s="11"/>
      <c r="S23" s="11"/>
      <c r="T23" s="11"/>
      <c r="U23" s="11"/>
      <c r="V23" s="11"/>
      <c r="W23" s="11"/>
      <c r="X23" s="11"/>
    </row>
    <row r="24" spans="1:24" x14ac:dyDescent="0.2">
      <c r="A24" s="4"/>
      <c r="B24" s="31">
        <v>22</v>
      </c>
      <c r="C24" s="21" t="s">
        <v>106</v>
      </c>
      <c r="D24" s="13" t="s">
        <v>53</v>
      </c>
      <c r="E24" s="13" t="s">
        <v>45</v>
      </c>
      <c r="F24" s="12" t="s">
        <v>107</v>
      </c>
      <c r="G24" s="14" t="s">
        <v>108</v>
      </c>
      <c r="H24" s="48">
        <v>1</v>
      </c>
      <c r="I24" s="16">
        <v>0.16</v>
      </c>
      <c r="J24" s="23">
        <v>2</v>
      </c>
      <c r="K24" s="18">
        <v>0.70599999999999996</v>
      </c>
      <c r="L24" s="92" t="s">
        <v>109</v>
      </c>
      <c r="M24" s="11"/>
      <c r="N24" s="11"/>
      <c r="O24" s="11"/>
      <c r="P24" s="11"/>
      <c r="Q24" s="11"/>
      <c r="R24" s="11"/>
      <c r="S24" s="11"/>
      <c r="T24" s="11"/>
      <c r="U24" s="11"/>
      <c r="V24" s="11"/>
      <c r="W24" s="11"/>
      <c r="X24" s="11"/>
    </row>
    <row r="25" spans="1:24" x14ac:dyDescent="0.2">
      <c r="A25" s="4"/>
      <c r="B25" s="31">
        <v>23</v>
      </c>
      <c r="C25" s="21" t="s">
        <v>114</v>
      </c>
      <c r="D25" s="13" t="s">
        <v>13</v>
      </c>
      <c r="E25" s="13" t="s">
        <v>14</v>
      </c>
      <c r="F25" s="12" t="s">
        <v>115</v>
      </c>
      <c r="G25" s="14" t="s">
        <v>116</v>
      </c>
      <c r="H25" s="48">
        <v>0.96</v>
      </c>
      <c r="I25" s="16">
        <v>0.18</v>
      </c>
      <c r="J25" s="23">
        <v>1.76</v>
      </c>
      <c r="K25" s="24">
        <v>0.53990000000000005</v>
      </c>
      <c r="L25" s="88" t="s">
        <v>117</v>
      </c>
      <c r="M25" s="11"/>
      <c r="N25" s="11"/>
      <c r="O25" s="11"/>
      <c r="P25" s="11"/>
      <c r="Q25" s="11"/>
      <c r="R25" s="11"/>
      <c r="S25" s="11"/>
      <c r="T25" s="11"/>
      <c r="U25" s="11"/>
      <c r="V25" s="11"/>
      <c r="W25" s="11"/>
      <c r="X25" s="11"/>
    </row>
    <row r="26" spans="1:24" x14ac:dyDescent="0.2">
      <c r="A26" s="4"/>
      <c r="B26" s="31">
        <v>24</v>
      </c>
      <c r="C26" s="21" t="s">
        <v>118</v>
      </c>
      <c r="D26" s="13" t="s">
        <v>13</v>
      </c>
      <c r="E26" s="13" t="s">
        <v>45</v>
      </c>
      <c r="F26" s="12" t="s">
        <v>119</v>
      </c>
      <c r="G26" s="14" t="s">
        <v>120</v>
      </c>
      <c r="H26" s="48">
        <v>0.94</v>
      </c>
      <c r="I26" s="35">
        <v>0.12</v>
      </c>
      <c r="J26" s="23">
        <v>1.92</v>
      </c>
      <c r="K26" s="24">
        <f>H26/99*365</f>
        <v>3.4656565656565652</v>
      </c>
      <c r="L26" s="90" t="s">
        <v>121</v>
      </c>
      <c r="M26" s="11"/>
      <c r="N26" s="11"/>
      <c r="O26" s="11"/>
      <c r="P26" s="11"/>
      <c r="Q26" s="11"/>
      <c r="R26" s="11"/>
      <c r="S26" s="11"/>
      <c r="T26" s="11"/>
      <c r="U26" s="11"/>
      <c r="V26" s="11"/>
      <c r="W26" s="11"/>
      <c r="X26" s="11"/>
    </row>
    <row r="27" spans="1:24" x14ac:dyDescent="0.2">
      <c r="A27" s="4"/>
      <c r="B27" s="31">
        <v>25</v>
      </c>
      <c r="C27" s="21" t="s">
        <v>122</v>
      </c>
      <c r="D27" s="13" t="s">
        <v>25</v>
      </c>
      <c r="E27" s="13" t="s">
        <v>45</v>
      </c>
      <c r="F27" s="12" t="s">
        <v>123</v>
      </c>
      <c r="G27" s="14" t="s">
        <v>120</v>
      </c>
      <c r="H27" s="48">
        <v>0.94</v>
      </c>
      <c r="I27" s="35">
        <v>0.1</v>
      </c>
      <c r="J27" s="23">
        <v>1.92</v>
      </c>
      <c r="K27" s="24">
        <v>2.9834999999999998</v>
      </c>
      <c r="L27" s="88" t="s">
        <v>124</v>
      </c>
      <c r="M27" s="1"/>
      <c r="N27" s="1"/>
      <c r="O27" s="11"/>
      <c r="P27" s="11"/>
      <c r="Q27" s="11"/>
      <c r="R27" s="11"/>
      <c r="S27" s="11"/>
      <c r="T27" s="11"/>
      <c r="U27" s="11"/>
      <c r="V27" s="11"/>
      <c r="W27" s="11"/>
      <c r="X27" s="11"/>
    </row>
    <row r="28" spans="1:24" x14ac:dyDescent="0.2">
      <c r="A28" s="4"/>
      <c r="B28" s="31">
        <v>26</v>
      </c>
      <c r="C28" s="21" t="s">
        <v>125</v>
      </c>
      <c r="D28" s="13" t="s">
        <v>126</v>
      </c>
      <c r="E28" s="13" t="s">
        <v>45</v>
      </c>
      <c r="F28" s="12" t="s">
        <v>127</v>
      </c>
      <c r="G28" s="53" t="s">
        <v>120</v>
      </c>
      <c r="H28" s="48">
        <v>0.94</v>
      </c>
      <c r="I28" s="43">
        <v>0.08</v>
      </c>
      <c r="J28" s="23">
        <v>1.92</v>
      </c>
      <c r="K28" s="24">
        <f>H28/334*365</f>
        <v>1.0272455089820358</v>
      </c>
      <c r="L28" s="93" t="s">
        <v>128</v>
      </c>
      <c r="M28" s="1"/>
      <c r="N28" s="1"/>
      <c r="O28" s="11"/>
      <c r="P28" s="11"/>
      <c r="Q28" s="11"/>
      <c r="R28" s="11"/>
      <c r="S28" s="11"/>
      <c r="T28" s="11"/>
      <c r="U28" s="11"/>
      <c r="V28" s="11"/>
      <c r="W28" s="11"/>
      <c r="X28" s="11"/>
    </row>
    <row r="29" spans="1:24" x14ac:dyDescent="0.2">
      <c r="A29" s="4"/>
      <c r="B29" s="31">
        <v>27</v>
      </c>
      <c r="C29" s="21" t="s">
        <v>129</v>
      </c>
      <c r="D29" s="13" t="s">
        <v>126</v>
      </c>
      <c r="E29" s="13" t="s">
        <v>45</v>
      </c>
      <c r="F29" s="12" t="s">
        <v>130</v>
      </c>
      <c r="G29" s="53" t="s">
        <v>120</v>
      </c>
      <c r="H29" s="48">
        <v>0.94</v>
      </c>
      <c r="I29" s="35">
        <v>0.14000000000000001</v>
      </c>
      <c r="J29" s="23">
        <v>1.92</v>
      </c>
      <c r="K29" s="18">
        <v>0.6149</v>
      </c>
      <c r="L29" s="88" t="s">
        <v>131</v>
      </c>
      <c r="M29" s="1"/>
      <c r="N29" s="1"/>
      <c r="O29" s="11"/>
      <c r="P29" s="11"/>
      <c r="Q29" s="11"/>
      <c r="R29" s="11"/>
      <c r="S29" s="11"/>
      <c r="T29" s="11"/>
      <c r="U29" s="11"/>
      <c r="V29" s="11"/>
      <c r="W29" s="11"/>
      <c r="X29" s="11"/>
    </row>
    <row r="30" spans="1:24" x14ac:dyDescent="0.2">
      <c r="A30" s="4"/>
      <c r="B30" s="31">
        <v>28</v>
      </c>
      <c r="C30" s="21" t="s">
        <v>24</v>
      </c>
      <c r="D30" s="13" t="s">
        <v>25</v>
      </c>
      <c r="E30" s="13" t="s">
        <v>14</v>
      </c>
      <c r="F30" s="12" t="s">
        <v>26</v>
      </c>
      <c r="G30" s="53" t="s">
        <v>27</v>
      </c>
      <c r="H30" s="75">
        <v>0.92</v>
      </c>
      <c r="I30" s="22">
        <v>0.22</v>
      </c>
      <c r="J30" s="23">
        <v>1.92</v>
      </c>
      <c r="K30" s="24">
        <v>4.5377999999999998</v>
      </c>
      <c r="L30" s="94" t="s">
        <v>28</v>
      </c>
      <c r="M30" s="1"/>
      <c r="N30" s="1"/>
      <c r="O30" s="11"/>
      <c r="P30" s="11"/>
      <c r="Q30" s="11"/>
      <c r="R30" s="11"/>
      <c r="S30" s="11"/>
      <c r="T30" s="11"/>
      <c r="U30" s="11"/>
      <c r="V30" s="11"/>
      <c r="W30" s="11"/>
      <c r="X30" s="11"/>
    </row>
    <row r="31" spans="1:24" x14ac:dyDescent="0.2">
      <c r="A31" s="4"/>
      <c r="B31" s="31">
        <v>29</v>
      </c>
      <c r="C31" s="21" t="s">
        <v>132</v>
      </c>
      <c r="D31" s="13" t="s">
        <v>25</v>
      </c>
      <c r="E31" s="13" t="s">
        <v>111</v>
      </c>
      <c r="F31" s="12" t="s">
        <v>133</v>
      </c>
      <c r="G31" s="53" t="s">
        <v>134</v>
      </c>
      <c r="H31" s="48">
        <v>0.9</v>
      </c>
      <c r="I31" s="35">
        <v>0.12</v>
      </c>
      <c r="J31" s="23">
        <v>2.0699999999999998</v>
      </c>
      <c r="K31" s="24">
        <f>H31/45*365</f>
        <v>7.3</v>
      </c>
      <c r="L31" s="93" t="s">
        <v>135</v>
      </c>
      <c r="M31" s="1"/>
      <c r="N31" s="1"/>
      <c r="O31" s="11"/>
      <c r="P31" s="11"/>
      <c r="Q31" s="11"/>
      <c r="R31" s="11"/>
      <c r="S31" s="11"/>
      <c r="T31" s="11"/>
      <c r="U31" s="11"/>
      <c r="V31" s="11"/>
      <c r="W31" s="11"/>
      <c r="X31" s="11"/>
    </row>
    <row r="32" spans="1:24" x14ac:dyDescent="0.2">
      <c r="A32" s="4"/>
      <c r="B32" s="31">
        <v>30</v>
      </c>
      <c r="C32" s="97" t="s">
        <v>140</v>
      </c>
      <c r="D32" s="13" t="s">
        <v>53</v>
      </c>
      <c r="E32" s="13" t="s">
        <v>45</v>
      </c>
      <c r="F32" s="55" t="s">
        <v>141</v>
      </c>
      <c r="G32" s="53" t="s">
        <v>138</v>
      </c>
      <c r="H32" s="48">
        <v>0.88</v>
      </c>
      <c r="I32" s="35">
        <v>0.12</v>
      </c>
      <c r="J32" s="23">
        <v>1.85</v>
      </c>
      <c r="K32" s="24">
        <v>24.707699999999999</v>
      </c>
      <c r="L32" s="93" t="s">
        <v>142</v>
      </c>
      <c r="M32" s="1"/>
      <c r="N32" s="1"/>
      <c r="O32" s="11"/>
      <c r="P32" s="11"/>
      <c r="Q32" s="11"/>
      <c r="R32" s="11"/>
      <c r="S32" s="11"/>
      <c r="T32" s="11"/>
      <c r="U32" s="11"/>
      <c r="V32" s="11"/>
      <c r="W32" s="11"/>
      <c r="X32" s="11"/>
    </row>
    <row r="33" spans="1:24" x14ac:dyDescent="0.2">
      <c r="A33" s="4"/>
      <c r="B33" s="31">
        <v>31</v>
      </c>
      <c r="C33" s="21" t="s">
        <v>143</v>
      </c>
      <c r="D33" s="13" t="s">
        <v>25</v>
      </c>
      <c r="E33" s="13" t="s">
        <v>45</v>
      </c>
      <c r="F33" s="55" t="s">
        <v>144</v>
      </c>
      <c r="G33" s="53" t="s">
        <v>138</v>
      </c>
      <c r="H33" s="48">
        <v>0.88</v>
      </c>
      <c r="I33" s="35">
        <v>0.1</v>
      </c>
      <c r="J33" s="23">
        <v>1.85</v>
      </c>
      <c r="K33" s="24">
        <v>6.4240000000000004</v>
      </c>
      <c r="L33" s="88" t="s">
        <v>145</v>
      </c>
      <c r="M33" s="1"/>
      <c r="N33" s="1"/>
      <c r="O33" s="11"/>
      <c r="P33" s="11"/>
      <c r="Q33" s="11"/>
      <c r="R33" s="11"/>
      <c r="S33" s="11"/>
      <c r="T33" s="11"/>
      <c r="U33" s="11"/>
      <c r="V33" s="11"/>
      <c r="W33" s="11"/>
      <c r="X33" s="11"/>
    </row>
    <row r="34" spans="1:24" x14ac:dyDescent="0.2">
      <c r="A34" s="4"/>
      <c r="B34" s="31">
        <v>32</v>
      </c>
      <c r="C34" s="21" t="s">
        <v>146</v>
      </c>
      <c r="D34" s="13" t="s">
        <v>13</v>
      </c>
      <c r="E34" s="13" t="s">
        <v>45</v>
      </c>
      <c r="F34" s="55" t="s">
        <v>147</v>
      </c>
      <c r="G34" s="53" t="s">
        <v>138</v>
      </c>
      <c r="H34" s="48">
        <v>0.88</v>
      </c>
      <c r="I34" s="16">
        <v>0.18</v>
      </c>
      <c r="J34" s="23">
        <v>1.85</v>
      </c>
      <c r="K34" s="24">
        <v>1.0165</v>
      </c>
      <c r="L34" s="88" t="s">
        <v>148</v>
      </c>
      <c r="M34" s="1"/>
      <c r="N34" s="1"/>
      <c r="O34" s="11"/>
      <c r="P34" s="11"/>
      <c r="Q34" s="11"/>
      <c r="R34" s="11"/>
      <c r="S34" s="11"/>
      <c r="T34" s="11"/>
      <c r="U34" s="11"/>
      <c r="V34" s="11"/>
      <c r="W34" s="11"/>
      <c r="X34" s="11"/>
    </row>
    <row r="35" spans="1:24" x14ac:dyDescent="0.2">
      <c r="A35" s="4"/>
      <c r="B35" s="31">
        <v>33</v>
      </c>
      <c r="C35" s="21" t="s">
        <v>136</v>
      </c>
      <c r="D35" s="13" t="s">
        <v>126</v>
      </c>
      <c r="E35" s="13" t="s">
        <v>45</v>
      </c>
      <c r="F35" s="55" t="s">
        <v>137</v>
      </c>
      <c r="G35" s="53" t="s">
        <v>138</v>
      </c>
      <c r="H35" s="48">
        <v>0.88</v>
      </c>
      <c r="I35" s="43">
        <v>0.08</v>
      </c>
      <c r="J35" s="23">
        <v>1.85</v>
      </c>
      <c r="K35" s="18">
        <v>0.4</v>
      </c>
      <c r="L35" s="86" t="s">
        <v>139</v>
      </c>
      <c r="M35" s="1"/>
      <c r="N35" s="1"/>
      <c r="O35" s="11"/>
      <c r="P35" s="11"/>
      <c r="Q35" s="11"/>
      <c r="R35" s="11"/>
      <c r="S35" s="11"/>
      <c r="T35" s="11"/>
      <c r="U35" s="11"/>
      <c r="V35" s="11"/>
      <c r="W35" s="11"/>
      <c r="X35" s="11"/>
    </row>
    <row r="36" spans="1:24" x14ac:dyDescent="0.2">
      <c r="A36" s="4"/>
      <c r="B36" s="31">
        <v>34</v>
      </c>
      <c r="C36" s="21" t="s">
        <v>149</v>
      </c>
      <c r="D36" s="13" t="s">
        <v>150</v>
      </c>
      <c r="E36" s="13" t="s">
        <v>45</v>
      </c>
      <c r="F36" s="55" t="s">
        <v>151</v>
      </c>
      <c r="G36" s="53" t="s">
        <v>138</v>
      </c>
      <c r="H36" s="57">
        <v>0.88</v>
      </c>
      <c r="I36" s="16">
        <v>0.18</v>
      </c>
      <c r="J36" s="23">
        <v>1.85</v>
      </c>
      <c r="K36" s="41">
        <v>9.35E-2</v>
      </c>
      <c r="L36" s="88" t="s">
        <v>152</v>
      </c>
      <c r="M36" s="1"/>
      <c r="N36" s="1"/>
      <c r="O36" s="11"/>
      <c r="P36" s="11"/>
      <c r="Q36" s="11"/>
      <c r="R36" s="11"/>
      <c r="S36" s="11"/>
      <c r="T36" s="11"/>
      <c r="U36" s="11"/>
      <c r="V36" s="11"/>
      <c r="W36" s="11"/>
      <c r="X36" s="11"/>
    </row>
    <row r="37" spans="1:24" ht="12.75" x14ac:dyDescent="0.2">
      <c r="A37" s="4"/>
      <c r="B37" s="31">
        <v>35</v>
      </c>
      <c r="C37" s="21" t="s">
        <v>153</v>
      </c>
      <c r="D37" s="13" t="s">
        <v>25</v>
      </c>
      <c r="E37" s="13" t="s">
        <v>154</v>
      </c>
      <c r="F37" s="55" t="s">
        <v>155</v>
      </c>
      <c r="G37" s="53" t="s">
        <v>156</v>
      </c>
      <c r="H37" s="57">
        <v>0.85</v>
      </c>
      <c r="I37" s="35">
        <v>0.13</v>
      </c>
      <c r="J37" s="58">
        <v>1.71</v>
      </c>
      <c r="K37" s="24">
        <v>4.9245999999999999</v>
      </c>
      <c r="L37" s="88" t="s">
        <v>157</v>
      </c>
      <c r="M37" s="1"/>
      <c r="N37" s="1"/>
      <c r="O37" s="11"/>
      <c r="P37" s="11"/>
      <c r="Q37" s="11"/>
      <c r="R37" s="11"/>
      <c r="S37" s="11"/>
      <c r="T37" s="11"/>
      <c r="U37" s="11"/>
      <c r="V37" s="11"/>
      <c r="W37" s="11"/>
      <c r="X37" s="11"/>
    </row>
    <row r="38" spans="1:24" ht="12.75" x14ac:dyDescent="0.2">
      <c r="A38" s="4"/>
      <c r="B38" s="31">
        <v>36</v>
      </c>
      <c r="C38" s="21" t="s">
        <v>158</v>
      </c>
      <c r="D38" s="13" t="s">
        <v>53</v>
      </c>
      <c r="E38" s="13" t="s">
        <v>45</v>
      </c>
      <c r="F38" s="55" t="s">
        <v>159</v>
      </c>
      <c r="G38" s="53" t="s">
        <v>160</v>
      </c>
      <c r="H38" s="57">
        <v>0.82</v>
      </c>
      <c r="I38" s="16">
        <v>0.16</v>
      </c>
      <c r="J38" s="23">
        <v>1.77</v>
      </c>
      <c r="K38" s="24">
        <v>29.93</v>
      </c>
      <c r="L38" s="88" t="s">
        <v>161</v>
      </c>
      <c r="M38" s="1"/>
      <c r="N38" s="1"/>
      <c r="O38" s="11"/>
      <c r="P38" s="11"/>
      <c r="Q38" s="11"/>
      <c r="R38" s="11"/>
      <c r="S38" s="11"/>
      <c r="T38" s="11"/>
      <c r="U38" s="11"/>
      <c r="V38" s="11"/>
      <c r="W38" s="11"/>
      <c r="X38" s="11"/>
    </row>
    <row r="39" spans="1:24" ht="12.75" x14ac:dyDescent="0.2">
      <c r="A39" s="4"/>
      <c r="B39" s="31">
        <v>37</v>
      </c>
      <c r="C39" s="21" t="s">
        <v>162</v>
      </c>
      <c r="D39" s="13" t="s">
        <v>150</v>
      </c>
      <c r="E39" s="13" t="s">
        <v>14</v>
      </c>
      <c r="F39" s="55" t="s">
        <v>163</v>
      </c>
      <c r="G39" s="53" t="s">
        <v>164</v>
      </c>
      <c r="H39" s="57">
        <v>0.8</v>
      </c>
      <c r="I39" s="16">
        <v>0.16</v>
      </c>
      <c r="J39" s="58">
        <v>1.62</v>
      </c>
      <c r="K39" s="41">
        <v>0.1633</v>
      </c>
      <c r="L39" s="87" t="s">
        <v>165</v>
      </c>
      <c r="M39" s="1"/>
      <c r="N39" s="1"/>
      <c r="O39" s="11"/>
      <c r="P39" s="11"/>
      <c r="Q39" s="11"/>
      <c r="R39" s="11"/>
      <c r="S39" s="11"/>
      <c r="T39" s="11"/>
      <c r="U39" s="11"/>
      <c r="V39" s="11"/>
      <c r="W39" s="11"/>
      <c r="X39" s="11"/>
    </row>
    <row r="40" spans="1:24" ht="25.5" x14ac:dyDescent="0.2">
      <c r="A40" s="4"/>
      <c r="B40" s="31">
        <v>38</v>
      </c>
      <c r="C40" s="97" t="s">
        <v>166</v>
      </c>
      <c r="D40" s="13" t="s">
        <v>167</v>
      </c>
      <c r="E40" s="13" t="s">
        <v>14</v>
      </c>
      <c r="F40" s="55" t="s">
        <v>168</v>
      </c>
      <c r="G40" s="53" t="s">
        <v>164</v>
      </c>
      <c r="H40" s="57">
        <v>0.8</v>
      </c>
      <c r="I40" s="22">
        <v>0.24</v>
      </c>
      <c r="J40" s="58">
        <v>1.62</v>
      </c>
      <c r="K40" s="41">
        <v>0.1197</v>
      </c>
      <c r="L40" s="87" t="s">
        <v>169</v>
      </c>
      <c r="M40" s="1"/>
      <c r="N40" s="1"/>
      <c r="O40" s="11"/>
      <c r="P40" s="11"/>
      <c r="Q40" s="11"/>
      <c r="R40" s="11"/>
      <c r="S40" s="11"/>
      <c r="T40" s="11"/>
      <c r="U40" s="11"/>
      <c r="V40" s="11"/>
      <c r="W40" s="11"/>
      <c r="X40" s="11"/>
    </row>
    <row r="41" spans="1:24" ht="12.75" x14ac:dyDescent="0.2">
      <c r="A41" s="4"/>
      <c r="B41" s="31">
        <v>39</v>
      </c>
      <c r="C41" s="21" t="s">
        <v>174</v>
      </c>
      <c r="D41" s="13" t="s">
        <v>13</v>
      </c>
      <c r="E41" s="13" t="s">
        <v>45</v>
      </c>
      <c r="F41" s="55" t="s">
        <v>175</v>
      </c>
      <c r="G41" s="53" t="s">
        <v>16</v>
      </c>
      <c r="H41" s="48">
        <v>0.76</v>
      </c>
      <c r="I41" s="16">
        <v>0.16</v>
      </c>
      <c r="J41" s="58">
        <v>1.7</v>
      </c>
      <c r="K41" s="18">
        <v>1.8616999999999999</v>
      </c>
      <c r="L41" s="87" t="s">
        <v>176</v>
      </c>
      <c r="M41" s="1"/>
      <c r="N41" s="1"/>
      <c r="O41" s="11"/>
      <c r="P41" s="11"/>
      <c r="Q41" s="11"/>
      <c r="R41" s="11"/>
      <c r="S41" s="11"/>
      <c r="T41" s="11"/>
      <c r="U41" s="11"/>
      <c r="V41" s="11"/>
      <c r="W41" s="11"/>
      <c r="X41" s="11"/>
    </row>
    <row r="42" spans="1:24" ht="25.5" x14ac:dyDescent="0.2">
      <c r="A42" s="4"/>
      <c r="B42" s="31">
        <v>40</v>
      </c>
      <c r="C42" s="21" t="s">
        <v>177</v>
      </c>
      <c r="D42" s="13" t="s">
        <v>84</v>
      </c>
      <c r="E42" s="13" t="s">
        <v>45</v>
      </c>
      <c r="F42" s="55" t="s">
        <v>178</v>
      </c>
      <c r="G42" s="53" t="s">
        <v>16</v>
      </c>
      <c r="H42" s="48">
        <v>0.76</v>
      </c>
      <c r="I42" s="16">
        <v>0.18</v>
      </c>
      <c r="J42" s="58">
        <v>1.7</v>
      </c>
      <c r="K42" s="18">
        <v>0.67490000000000006</v>
      </c>
      <c r="L42" s="87" t="s">
        <v>179</v>
      </c>
      <c r="M42" s="1"/>
      <c r="N42" s="1"/>
      <c r="O42" s="11"/>
      <c r="P42" s="11"/>
      <c r="Q42" s="11"/>
      <c r="R42" s="11"/>
      <c r="S42" s="11"/>
      <c r="T42" s="11"/>
      <c r="U42" s="11"/>
      <c r="V42" s="11"/>
      <c r="W42" s="11"/>
      <c r="X42" s="11"/>
    </row>
    <row r="43" spans="1:24" ht="12.75" x14ac:dyDescent="0.2">
      <c r="A43" s="4"/>
      <c r="B43" s="31">
        <v>41</v>
      </c>
      <c r="C43" s="97" t="s">
        <v>180</v>
      </c>
      <c r="D43" s="13" t="s">
        <v>13</v>
      </c>
      <c r="E43" s="13" t="s">
        <v>111</v>
      </c>
      <c r="F43" s="55" t="s">
        <v>181</v>
      </c>
      <c r="G43" s="53" t="s">
        <v>55</v>
      </c>
      <c r="H43" s="48">
        <v>0.75</v>
      </c>
      <c r="I43" s="16">
        <v>0.18</v>
      </c>
      <c r="J43" s="23">
        <v>1.83</v>
      </c>
      <c r="K43" s="24">
        <v>1.2113</v>
      </c>
      <c r="L43" s="88" t="s">
        <v>182</v>
      </c>
      <c r="M43" s="1"/>
      <c r="N43" s="1"/>
      <c r="O43" s="11"/>
      <c r="P43" s="11"/>
      <c r="Q43" s="11"/>
      <c r="R43" s="11"/>
      <c r="S43" s="11"/>
      <c r="T43" s="11"/>
      <c r="U43" s="11"/>
      <c r="V43" s="11"/>
      <c r="W43" s="11"/>
      <c r="X43" s="11"/>
    </row>
    <row r="44" spans="1:24" ht="12.75" x14ac:dyDescent="0.2">
      <c r="A44" s="4"/>
      <c r="B44" s="31">
        <v>42</v>
      </c>
      <c r="C44" s="21" t="s">
        <v>110</v>
      </c>
      <c r="D44" s="13" t="s">
        <v>25</v>
      </c>
      <c r="E44" s="13" t="s">
        <v>111</v>
      </c>
      <c r="F44" s="55" t="s">
        <v>112</v>
      </c>
      <c r="G44" s="53" t="s">
        <v>55</v>
      </c>
      <c r="H44" s="48">
        <v>0.75</v>
      </c>
      <c r="I44" s="35">
        <v>0.14000000000000001</v>
      </c>
      <c r="J44" s="23">
        <v>1.83</v>
      </c>
      <c r="K44" s="24">
        <f>H44/260*365</f>
        <v>1.0528846153846154</v>
      </c>
      <c r="L44" s="88" t="s">
        <v>113</v>
      </c>
      <c r="M44" s="1"/>
      <c r="N44" s="1"/>
      <c r="O44" s="11"/>
      <c r="P44" s="11"/>
      <c r="Q44" s="11"/>
      <c r="R44" s="11"/>
      <c r="S44" s="11"/>
      <c r="T44" s="11"/>
      <c r="U44" s="11"/>
      <c r="V44" s="11"/>
      <c r="W44" s="11"/>
      <c r="X44" s="11"/>
    </row>
    <row r="45" spans="1:24" ht="12.75" x14ac:dyDescent="0.2">
      <c r="A45" s="4"/>
      <c r="B45" s="31">
        <v>43</v>
      </c>
      <c r="C45" s="21" t="s">
        <v>183</v>
      </c>
      <c r="D45" s="13" t="s">
        <v>126</v>
      </c>
      <c r="E45" s="13" t="s">
        <v>111</v>
      </c>
      <c r="F45" s="55" t="s">
        <v>184</v>
      </c>
      <c r="G45" s="53" t="s">
        <v>55</v>
      </c>
      <c r="H45" s="48">
        <v>0.75</v>
      </c>
      <c r="I45" s="35">
        <v>0.1</v>
      </c>
      <c r="J45" s="23">
        <v>1.83</v>
      </c>
      <c r="K45" s="18">
        <f>H45/486*365</f>
        <v>0.56327160493827155</v>
      </c>
      <c r="L45" s="93" t="s">
        <v>185</v>
      </c>
      <c r="M45" s="1"/>
      <c r="N45" s="1"/>
      <c r="O45" s="11"/>
      <c r="P45" s="11"/>
      <c r="Q45" s="11"/>
      <c r="R45" s="11"/>
      <c r="S45" s="11"/>
      <c r="T45" s="11"/>
      <c r="U45" s="11"/>
      <c r="V45" s="11"/>
      <c r="W45" s="11"/>
      <c r="X45" s="11"/>
    </row>
    <row r="46" spans="1:24" ht="12.75" x14ac:dyDescent="0.2">
      <c r="A46" s="4"/>
      <c r="B46" s="31">
        <v>44</v>
      </c>
      <c r="C46" s="97" t="s">
        <v>186</v>
      </c>
      <c r="D46" s="13" t="s">
        <v>126</v>
      </c>
      <c r="E46" s="13" t="s">
        <v>154</v>
      </c>
      <c r="F46" s="55" t="s">
        <v>187</v>
      </c>
      <c r="G46" s="53" t="s">
        <v>78</v>
      </c>
      <c r="H46" s="48">
        <v>0.73</v>
      </c>
      <c r="I46" s="16">
        <v>0.15</v>
      </c>
      <c r="J46" s="58">
        <v>1.6</v>
      </c>
      <c r="K46" s="18">
        <v>0.27379999999999999</v>
      </c>
      <c r="L46" s="93" t="s">
        <v>188</v>
      </c>
      <c r="M46" s="1"/>
      <c r="N46" s="1"/>
      <c r="O46" s="11"/>
      <c r="P46" s="11"/>
      <c r="Q46" s="11"/>
      <c r="R46" s="11"/>
      <c r="S46" s="11"/>
      <c r="T46" s="11"/>
      <c r="U46" s="11"/>
      <c r="V46" s="11"/>
      <c r="W46" s="11"/>
      <c r="X46" s="11"/>
    </row>
    <row r="47" spans="1:24" ht="12.75" x14ac:dyDescent="0.2">
      <c r="A47" s="4"/>
      <c r="B47" s="31">
        <v>45</v>
      </c>
      <c r="C47" s="21" t="s">
        <v>189</v>
      </c>
      <c r="D47" s="13" t="s">
        <v>25</v>
      </c>
      <c r="E47" s="13" t="s">
        <v>111</v>
      </c>
      <c r="F47" s="12" t="s">
        <v>190</v>
      </c>
      <c r="G47" s="14" t="s">
        <v>55</v>
      </c>
      <c r="H47" s="48">
        <v>0.7</v>
      </c>
      <c r="I47" s="16">
        <v>0.15</v>
      </c>
      <c r="J47" s="23">
        <v>1.76</v>
      </c>
      <c r="K47" s="24">
        <f>H47/31*365</f>
        <v>8.241935483870968</v>
      </c>
      <c r="L47" s="88" t="s">
        <v>191</v>
      </c>
      <c r="M47" s="1"/>
      <c r="N47" s="1"/>
      <c r="O47" s="11"/>
      <c r="P47" s="11"/>
      <c r="Q47" s="11"/>
      <c r="R47" s="11"/>
      <c r="S47" s="11"/>
      <c r="T47" s="11"/>
      <c r="U47" s="11"/>
      <c r="V47" s="11"/>
      <c r="W47" s="11"/>
      <c r="X47" s="11"/>
    </row>
    <row r="48" spans="1:24" ht="12.75" x14ac:dyDescent="0.2">
      <c r="A48" s="4"/>
      <c r="B48" s="31">
        <v>46</v>
      </c>
      <c r="C48" s="21" t="s">
        <v>192</v>
      </c>
      <c r="D48" s="13" t="s">
        <v>13</v>
      </c>
      <c r="E48" s="13" t="s">
        <v>45</v>
      </c>
      <c r="F48" s="12" t="s">
        <v>193</v>
      </c>
      <c r="G48" s="14" t="s">
        <v>172</v>
      </c>
      <c r="H48" s="48">
        <v>0.7</v>
      </c>
      <c r="I48" s="16">
        <v>0.16</v>
      </c>
      <c r="J48" s="58">
        <v>1.64</v>
      </c>
      <c r="K48" s="24">
        <v>4.3304999999999998</v>
      </c>
      <c r="L48" s="90" t="s">
        <v>194</v>
      </c>
      <c r="M48" s="1"/>
      <c r="N48" s="1"/>
      <c r="O48" s="11"/>
      <c r="P48" s="11"/>
      <c r="Q48" s="11"/>
      <c r="R48" s="11"/>
      <c r="S48" s="11"/>
      <c r="T48" s="11"/>
      <c r="U48" s="11"/>
      <c r="V48" s="11"/>
      <c r="W48" s="11"/>
      <c r="X48" s="11"/>
    </row>
    <row r="49" spans="1:24" ht="12.75" x14ac:dyDescent="0.2">
      <c r="A49" s="4"/>
      <c r="B49" s="31">
        <v>47</v>
      </c>
      <c r="C49" s="21" t="s">
        <v>195</v>
      </c>
      <c r="D49" s="13" t="s">
        <v>25</v>
      </c>
      <c r="E49" s="13" t="s">
        <v>111</v>
      </c>
      <c r="F49" s="12" t="s">
        <v>196</v>
      </c>
      <c r="G49" s="14" t="s">
        <v>65</v>
      </c>
      <c r="H49" s="48">
        <v>0.7</v>
      </c>
      <c r="I49" s="35">
        <v>0.12</v>
      </c>
      <c r="J49" s="23">
        <v>1.76</v>
      </c>
      <c r="K49" s="24">
        <v>3.2342</v>
      </c>
      <c r="L49" s="86" t="s">
        <v>197</v>
      </c>
      <c r="M49" s="1"/>
      <c r="N49" s="1"/>
      <c r="O49" s="11"/>
      <c r="P49" s="11"/>
      <c r="Q49" s="11"/>
      <c r="R49" s="11"/>
      <c r="S49" s="11"/>
      <c r="T49" s="11"/>
      <c r="U49" s="11"/>
      <c r="V49" s="11"/>
      <c r="W49" s="11"/>
      <c r="X49" s="11"/>
    </row>
    <row r="50" spans="1:24" ht="25.5" x14ac:dyDescent="0.2">
      <c r="A50" s="4"/>
      <c r="B50" s="31">
        <v>48</v>
      </c>
      <c r="C50" s="21" t="s">
        <v>170</v>
      </c>
      <c r="D50" s="13" t="s">
        <v>13</v>
      </c>
      <c r="E50" s="13" t="s">
        <v>45</v>
      </c>
      <c r="F50" s="12" t="s">
        <v>171</v>
      </c>
      <c r="G50" s="14" t="s">
        <v>172</v>
      </c>
      <c r="H50" s="57">
        <v>0.7</v>
      </c>
      <c r="I50" s="35">
        <v>0.14000000000000001</v>
      </c>
      <c r="J50" s="58">
        <v>1.64</v>
      </c>
      <c r="K50" s="18">
        <v>0.89339999999999997</v>
      </c>
      <c r="L50" s="95" t="s">
        <v>173</v>
      </c>
      <c r="M50" s="1"/>
      <c r="N50" s="1"/>
      <c r="O50" s="11"/>
      <c r="P50" s="11"/>
      <c r="Q50" s="11"/>
      <c r="R50" s="11"/>
      <c r="S50" s="11"/>
      <c r="T50" s="11"/>
      <c r="U50" s="11"/>
      <c r="V50" s="11"/>
      <c r="W50" s="11"/>
      <c r="X50" s="11"/>
    </row>
    <row r="51" spans="1:24" ht="12.75" x14ac:dyDescent="0.2">
      <c r="A51" s="4"/>
      <c r="B51" s="31">
        <v>49</v>
      </c>
      <c r="C51" s="21" t="s">
        <v>198</v>
      </c>
      <c r="D51" s="13" t="s">
        <v>126</v>
      </c>
      <c r="E51" s="13" t="s">
        <v>111</v>
      </c>
      <c r="F51" s="12" t="s">
        <v>199</v>
      </c>
      <c r="G51" s="14" t="s">
        <v>65</v>
      </c>
      <c r="H51" s="48">
        <v>0.7</v>
      </c>
      <c r="I51" s="35">
        <v>0.11</v>
      </c>
      <c r="J51" s="23">
        <v>1.76</v>
      </c>
      <c r="K51" s="18">
        <f>H51/367*365</f>
        <v>0.69618528610354224</v>
      </c>
      <c r="L51" s="90" t="s">
        <v>200</v>
      </c>
      <c r="M51" s="1"/>
      <c r="N51" s="1"/>
      <c r="O51" s="11"/>
      <c r="P51" s="11"/>
      <c r="Q51" s="11"/>
      <c r="R51" s="11"/>
      <c r="S51" s="11"/>
      <c r="T51" s="11"/>
      <c r="U51" s="11"/>
      <c r="V51" s="11"/>
      <c r="W51" s="11"/>
      <c r="X51" s="11"/>
    </row>
    <row r="52" spans="1:24" ht="12.75" x14ac:dyDescent="0.2">
      <c r="A52" s="4"/>
      <c r="B52" s="31">
        <v>50</v>
      </c>
      <c r="C52" s="21" t="s">
        <v>201</v>
      </c>
      <c r="D52" s="13" t="s">
        <v>202</v>
      </c>
      <c r="E52" s="13" t="s">
        <v>45</v>
      </c>
      <c r="F52" s="12" t="s">
        <v>203</v>
      </c>
      <c r="G52" s="14" t="s">
        <v>172</v>
      </c>
      <c r="H52" s="48">
        <v>0.7</v>
      </c>
      <c r="I52" s="16">
        <v>0.16</v>
      </c>
      <c r="J52" s="58">
        <v>1.64</v>
      </c>
      <c r="K52" s="41">
        <v>6.4500000000000002E-2</v>
      </c>
      <c r="L52" s="88" t="s">
        <v>204</v>
      </c>
      <c r="M52" s="1"/>
      <c r="N52" s="1"/>
      <c r="O52" s="11"/>
      <c r="P52" s="11"/>
      <c r="Q52" s="11"/>
      <c r="R52" s="11"/>
      <c r="S52" s="11"/>
      <c r="T52" s="11"/>
      <c r="U52" s="11"/>
      <c r="V52" s="11"/>
      <c r="W52" s="11"/>
      <c r="X52" s="11"/>
    </row>
    <row r="53" spans="1:24" ht="12.75" x14ac:dyDescent="0.2">
      <c r="A53" s="4"/>
      <c r="B53" s="31">
        <v>51</v>
      </c>
      <c r="C53" s="21" t="s">
        <v>205</v>
      </c>
      <c r="D53" s="13" t="s">
        <v>25</v>
      </c>
      <c r="E53" s="13" t="s">
        <v>45</v>
      </c>
      <c r="F53" s="12" t="s">
        <v>206</v>
      </c>
      <c r="G53" s="14" t="s">
        <v>207</v>
      </c>
      <c r="H53" s="48">
        <v>0.64</v>
      </c>
      <c r="I53" s="43">
        <v>0.08</v>
      </c>
      <c r="J53" s="58">
        <v>1.57</v>
      </c>
      <c r="K53" s="24">
        <v>4.2473000000000001</v>
      </c>
      <c r="L53" s="86" t="s">
        <v>208</v>
      </c>
      <c r="M53" s="1"/>
      <c r="N53" s="1"/>
      <c r="O53" s="11"/>
      <c r="P53" s="11"/>
      <c r="Q53" s="11"/>
      <c r="R53" s="11"/>
      <c r="S53" s="11"/>
      <c r="T53" s="11"/>
      <c r="U53" s="11"/>
      <c r="V53" s="11"/>
      <c r="W53" s="11"/>
      <c r="X53" s="11"/>
    </row>
    <row r="54" spans="1:24" ht="12.75" x14ac:dyDescent="0.2">
      <c r="A54" s="4"/>
      <c r="B54" s="31">
        <v>52</v>
      </c>
      <c r="C54" s="21" t="s">
        <v>209</v>
      </c>
      <c r="D54" s="13" t="s">
        <v>84</v>
      </c>
      <c r="E54" s="13" t="s">
        <v>45</v>
      </c>
      <c r="F54" s="12" t="s">
        <v>210</v>
      </c>
      <c r="G54" s="14" t="s">
        <v>33</v>
      </c>
      <c r="H54" s="48">
        <v>0.57999999999999996</v>
      </c>
      <c r="I54" s="35">
        <v>0.12</v>
      </c>
      <c r="J54" s="58">
        <v>1.51</v>
      </c>
      <c r="K54" s="24">
        <f>H54/200*365</f>
        <v>1.0585</v>
      </c>
      <c r="L54" s="90" t="s">
        <v>211</v>
      </c>
      <c r="M54" s="1"/>
      <c r="N54" s="1"/>
      <c r="O54" s="11"/>
      <c r="P54" s="11"/>
      <c r="Q54" s="11"/>
      <c r="R54" s="11"/>
      <c r="S54" s="11"/>
      <c r="T54" s="11"/>
      <c r="U54" s="11"/>
      <c r="V54" s="11"/>
      <c r="W54" s="11"/>
      <c r="X54" s="11"/>
    </row>
    <row r="55" spans="1:24" ht="12.75" x14ac:dyDescent="0.2">
      <c r="A55" s="4"/>
      <c r="B55" s="31">
        <v>53</v>
      </c>
      <c r="C55" s="21" t="s">
        <v>212</v>
      </c>
      <c r="D55" s="13" t="s">
        <v>13</v>
      </c>
      <c r="E55" s="13" t="s">
        <v>111</v>
      </c>
      <c r="F55" s="12" t="s">
        <v>213</v>
      </c>
      <c r="G55" s="53" t="s">
        <v>101</v>
      </c>
      <c r="H55" s="48">
        <v>0.55000000000000004</v>
      </c>
      <c r="I55" s="35">
        <v>0.12</v>
      </c>
      <c r="J55" s="58">
        <v>1.56</v>
      </c>
      <c r="K55" s="18">
        <v>0.39910000000000001</v>
      </c>
      <c r="L55" s="88" t="s">
        <v>214</v>
      </c>
      <c r="M55" s="1"/>
      <c r="N55" s="1"/>
      <c r="O55" s="11"/>
      <c r="P55" s="11"/>
      <c r="Q55" s="11"/>
      <c r="R55" s="11"/>
      <c r="S55" s="11"/>
      <c r="T55" s="11"/>
      <c r="U55" s="11"/>
      <c r="V55" s="11"/>
      <c r="W55" s="11"/>
      <c r="X55" s="11"/>
    </row>
    <row r="56" spans="1:24" ht="12.75" x14ac:dyDescent="0.2">
      <c r="A56" s="4"/>
      <c r="B56" s="31">
        <v>54</v>
      </c>
      <c r="C56" s="21" t="s">
        <v>215</v>
      </c>
      <c r="D56" s="13" t="s">
        <v>53</v>
      </c>
      <c r="E56" s="13" t="s">
        <v>111</v>
      </c>
      <c r="F56" s="12" t="s">
        <v>216</v>
      </c>
      <c r="G56" s="53" t="s">
        <v>108</v>
      </c>
      <c r="H56" s="48">
        <v>0.5</v>
      </c>
      <c r="I56" s="16">
        <v>0.16</v>
      </c>
      <c r="J56" s="58">
        <v>1.5</v>
      </c>
      <c r="K56" s="24">
        <v>24.333300000000001</v>
      </c>
      <c r="L56" s="88" t="s">
        <v>217</v>
      </c>
      <c r="M56" s="1"/>
      <c r="N56" s="1"/>
      <c r="O56" s="11"/>
      <c r="P56" s="11"/>
      <c r="Q56" s="11"/>
      <c r="R56" s="11"/>
      <c r="S56" s="11"/>
      <c r="T56" s="11"/>
      <c r="U56" s="11"/>
      <c r="V56" s="11"/>
      <c r="W56" s="11"/>
      <c r="X56" s="11"/>
    </row>
    <row r="57" spans="1:24" ht="12.75" x14ac:dyDescent="0.2">
      <c r="A57" s="4"/>
      <c r="B57" s="31">
        <v>55</v>
      </c>
      <c r="C57" s="21" t="s">
        <v>218</v>
      </c>
      <c r="D57" s="13" t="s">
        <v>13</v>
      </c>
      <c r="E57" s="13" t="s">
        <v>219</v>
      </c>
      <c r="F57" s="12" t="s">
        <v>220</v>
      </c>
      <c r="G57" s="53" t="s">
        <v>221</v>
      </c>
      <c r="H57" s="48">
        <v>0.48</v>
      </c>
      <c r="I57" s="35">
        <v>0.1</v>
      </c>
      <c r="J57" s="58">
        <v>1.63</v>
      </c>
      <c r="K57" s="18">
        <v>0.45860000000000001</v>
      </c>
      <c r="L57" s="96" t="s">
        <v>222</v>
      </c>
      <c r="M57" s="1"/>
      <c r="N57" s="1"/>
      <c r="O57" s="11"/>
      <c r="P57" s="11"/>
      <c r="Q57" s="11"/>
      <c r="R57" s="11"/>
      <c r="S57" s="11"/>
      <c r="T57" s="11"/>
      <c r="U57" s="11"/>
      <c r="V57" s="11"/>
      <c r="W57" s="11"/>
      <c r="X57" s="11"/>
    </row>
    <row r="58" spans="1:24" ht="12.75" x14ac:dyDescent="0.2">
      <c r="A58" s="4"/>
      <c r="B58" s="31">
        <v>56</v>
      </c>
      <c r="C58" s="21" t="s">
        <v>223</v>
      </c>
      <c r="D58" s="13" t="s">
        <v>25</v>
      </c>
      <c r="E58" s="13" t="s">
        <v>45</v>
      </c>
      <c r="F58" s="12" t="s">
        <v>224</v>
      </c>
      <c r="G58" s="53" t="s">
        <v>156</v>
      </c>
      <c r="H58" s="48">
        <v>0.46</v>
      </c>
      <c r="I58" s="35">
        <v>0.14000000000000001</v>
      </c>
      <c r="J58" s="58">
        <v>1.39</v>
      </c>
      <c r="K58" s="24">
        <v>2.3319000000000001</v>
      </c>
      <c r="L58" s="88" t="s">
        <v>225</v>
      </c>
      <c r="M58" s="1"/>
      <c r="N58" s="1"/>
      <c r="O58" s="11"/>
      <c r="P58" s="11"/>
      <c r="Q58" s="11"/>
      <c r="R58" s="11"/>
      <c r="S58" s="11"/>
      <c r="T58" s="11"/>
      <c r="U58" s="11"/>
      <c r="V58" s="11"/>
      <c r="W58" s="11"/>
      <c r="X58" s="11"/>
    </row>
    <row r="59" spans="1:24" ht="12.75" x14ac:dyDescent="0.2">
      <c r="A59" s="4"/>
      <c r="B59" s="31">
        <v>57</v>
      </c>
      <c r="C59" s="21" t="s">
        <v>226</v>
      </c>
      <c r="D59" s="13" t="s">
        <v>25</v>
      </c>
      <c r="E59" s="13" t="s">
        <v>45</v>
      </c>
      <c r="F59" s="12" t="s">
        <v>227</v>
      </c>
      <c r="G59" s="53" t="s">
        <v>156</v>
      </c>
      <c r="H59" s="48">
        <v>0.46</v>
      </c>
      <c r="I59" s="16">
        <v>0.2</v>
      </c>
      <c r="J59" s="58">
        <v>1.39</v>
      </c>
      <c r="K59" s="18">
        <v>0.77370000000000005</v>
      </c>
      <c r="L59" s="88" t="s">
        <v>228</v>
      </c>
      <c r="M59" s="1"/>
      <c r="N59" s="1"/>
      <c r="O59" s="11"/>
      <c r="P59" s="11"/>
      <c r="Q59" s="11"/>
      <c r="R59" s="11"/>
      <c r="S59" s="11"/>
      <c r="T59" s="11"/>
      <c r="U59" s="11"/>
      <c r="V59" s="11"/>
      <c r="W59" s="11"/>
      <c r="X59" s="11"/>
    </row>
    <row r="60" spans="1:24" ht="12.75" x14ac:dyDescent="0.2">
      <c r="A60" s="4"/>
      <c r="B60" s="31">
        <v>58</v>
      </c>
      <c r="C60" s="21" t="s">
        <v>229</v>
      </c>
      <c r="D60" s="13" t="s">
        <v>25</v>
      </c>
      <c r="E60" s="13" t="s">
        <v>92</v>
      </c>
      <c r="F60" s="12" t="s">
        <v>133</v>
      </c>
      <c r="G60" s="53" t="s">
        <v>16</v>
      </c>
      <c r="H60" s="48">
        <v>0.43880000000000002</v>
      </c>
      <c r="I60" s="16">
        <v>0.17660000000000001</v>
      </c>
      <c r="J60" s="58">
        <v>1.41</v>
      </c>
      <c r="K60" s="24">
        <v>3.5592000000000001</v>
      </c>
      <c r="L60" s="88" t="s">
        <v>230</v>
      </c>
      <c r="M60" s="1"/>
      <c r="N60" s="1"/>
      <c r="O60" s="11"/>
      <c r="P60" s="11"/>
      <c r="Q60" s="11"/>
      <c r="R60" s="11"/>
      <c r="S60" s="11"/>
      <c r="T60" s="11"/>
      <c r="U60" s="11"/>
      <c r="V60" s="11"/>
      <c r="W60" s="11"/>
      <c r="X60" s="11"/>
    </row>
    <row r="61" spans="1:24" ht="12.75" x14ac:dyDescent="0.2">
      <c r="A61" s="4"/>
      <c r="B61" s="31">
        <v>59</v>
      </c>
      <c r="C61" s="21" t="s">
        <v>231</v>
      </c>
      <c r="D61" s="13" t="s">
        <v>25</v>
      </c>
      <c r="E61" s="13" t="s">
        <v>232</v>
      </c>
      <c r="F61" s="12" t="s">
        <v>233</v>
      </c>
      <c r="G61" s="53" t="s">
        <v>207</v>
      </c>
      <c r="H61" s="48">
        <v>0.42480000000000001</v>
      </c>
      <c r="I61" s="16">
        <v>0.1454</v>
      </c>
      <c r="J61" s="58">
        <v>1.38</v>
      </c>
      <c r="K61" s="24">
        <v>1.3140000000000001</v>
      </c>
      <c r="L61" s="86" t="s">
        <v>234</v>
      </c>
      <c r="M61" s="1"/>
      <c r="N61" s="1"/>
      <c r="O61" s="11"/>
      <c r="P61" s="11"/>
      <c r="Q61" s="11"/>
      <c r="R61" s="11"/>
      <c r="S61" s="11"/>
      <c r="T61" s="11"/>
      <c r="U61" s="11"/>
      <c r="V61" s="11"/>
      <c r="W61" s="11"/>
      <c r="X61" s="11"/>
    </row>
    <row r="62" spans="1:24" ht="12.75" x14ac:dyDescent="0.2">
      <c r="A62" s="4"/>
      <c r="B62" s="31">
        <v>60</v>
      </c>
      <c r="C62" s="21" t="s">
        <v>235</v>
      </c>
      <c r="D62" s="13" t="s">
        <v>25</v>
      </c>
      <c r="E62" s="13" t="s">
        <v>45</v>
      </c>
      <c r="F62" s="12" t="s">
        <v>236</v>
      </c>
      <c r="G62" s="53" t="s">
        <v>78</v>
      </c>
      <c r="H62" s="48">
        <v>0.34</v>
      </c>
      <c r="I62" s="22">
        <v>0.26</v>
      </c>
      <c r="J62" s="58">
        <v>1.28</v>
      </c>
      <c r="K62" s="24">
        <v>1.0256000000000001</v>
      </c>
      <c r="L62" s="86" t="s">
        <v>237</v>
      </c>
      <c r="M62" s="1"/>
      <c r="N62" s="1"/>
      <c r="O62" s="11"/>
      <c r="P62" s="11"/>
      <c r="Q62" s="11"/>
      <c r="R62" s="11"/>
      <c r="S62" s="11"/>
      <c r="T62" s="11"/>
      <c r="U62" s="11"/>
      <c r="V62" s="11"/>
      <c r="W62" s="11"/>
      <c r="X62" s="11"/>
    </row>
    <row r="63" spans="1:24" ht="12.75" x14ac:dyDescent="0.2">
      <c r="A63" s="4"/>
      <c r="B63" s="31">
        <v>61</v>
      </c>
      <c r="C63" s="21" t="s">
        <v>241</v>
      </c>
      <c r="D63" s="13" t="s">
        <v>13</v>
      </c>
      <c r="E63" s="13" t="s">
        <v>111</v>
      </c>
      <c r="F63" s="12" t="s">
        <v>242</v>
      </c>
      <c r="G63" s="53" t="s">
        <v>16</v>
      </c>
      <c r="H63" s="48">
        <v>0.3</v>
      </c>
      <c r="I63" s="35">
        <v>0.11</v>
      </c>
      <c r="J63" s="58">
        <v>1.28</v>
      </c>
      <c r="K63" s="41">
        <v>0.1275</v>
      </c>
      <c r="L63" s="93" t="s">
        <v>243</v>
      </c>
      <c r="M63" s="1"/>
      <c r="N63" s="1"/>
      <c r="O63" s="11"/>
      <c r="P63" s="11"/>
      <c r="Q63" s="11"/>
      <c r="R63" s="11"/>
      <c r="S63" s="11"/>
      <c r="T63" s="11"/>
      <c r="U63" s="11"/>
      <c r="V63" s="11"/>
      <c r="W63" s="11"/>
      <c r="X63" s="11"/>
    </row>
    <row r="64" spans="1:24" ht="12.75" x14ac:dyDescent="0.2">
      <c r="A64" s="4"/>
      <c r="B64" s="31">
        <v>62</v>
      </c>
      <c r="C64" s="97" t="s">
        <v>238</v>
      </c>
      <c r="D64" s="13" t="s">
        <v>53</v>
      </c>
      <c r="E64" s="13" t="s">
        <v>45</v>
      </c>
      <c r="F64" s="12" t="s">
        <v>239</v>
      </c>
      <c r="G64" s="53" t="s">
        <v>97</v>
      </c>
      <c r="H64" s="48">
        <v>0.28000000000000003</v>
      </c>
      <c r="I64" s="22">
        <v>0.22</v>
      </c>
      <c r="J64" s="66">
        <v>1.23</v>
      </c>
      <c r="K64" s="24">
        <v>6.8132999999999999</v>
      </c>
      <c r="L64" s="93" t="s">
        <v>240</v>
      </c>
      <c r="M64" s="1"/>
      <c r="N64" s="1"/>
      <c r="O64" s="11"/>
      <c r="P64" s="11"/>
      <c r="Q64" s="11"/>
      <c r="R64" s="11"/>
      <c r="S64" s="11"/>
      <c r="T64" s="11"/>
      <c r="U64" s="11"/>
      <c r="V64" s="11"/>
      <c r="W64" s="11"/>
      <c r="X64" s="11"/>
    </row>
    <row r="65" spans="1:24" ht="12.75" x14ac:dyDescent="0.2">
      <c r="A65" s="4"/>
      <c r="B65" s="31">
        <v>63</v>
      </c>
      <c r="C65" s="21" t="s">
        <v>244</v>
      </c>
      <c r="D65" s="13" t="s">
        <v>25</v>
      </c>
      <c r="E65" s="13" t="s">
        <v>45</v>
      </c>
      <c r="F65" s="12" t="s">
        <v>245</v>
      </c>
      <c r="G65" s="53" t="s">
        <v>246</v>
      </c>
      <c r="H65" s="76">
        <v>0.18</v>
      </c>
      <c r="I65" s="22">
        <v>0.32</v>
      </c>
      <c r="J65" s="66">
        <v>1.05</v>
      </c>
      <c r="K65" s="18">
        <v>0.6028</v>
      </c>
      <c r="L65" s="88" t="s">
        <v>247</v>
      </c>
      <c r="M65" s="1"/>
      <c r="N65" s="1"/>
      <c r="O65" s="11"/>
      <c r="P65" s="11"/>
      <c r="Q65" s="11"/>
      <c r="R65" s="11"/>
      <c r="S65" s="11"/>
      <c r="T65" s="11"/>
      <c r="U65" s="11"/>
      <c r="V65" s="11"/>
      <c r="W65" s="11"/>
      <c r="X65" s="11"/>
    </row>
    <row r="66" spans="1:24" ht="12.75" x14ac:dyDescent="0.2">
      <c r="A66" s="4"/>
      <c r="B66" s="31">
        <v>64</v>
      </c>
      <c r="C66" s="21" t="s">
        <v>248</v>
      </c>
      <c r="D66" s="13" t="s">
        <v>126</v>
      </c>
      <c r="E66" s="13" t="s">
        <v>45</v>
      </c>
      <c r="F66" s="12" t="s">
        <v>249</v>
      </c>
      <c r="G66" s="53" t="s">
        <v>250</v>
      </c>
      <c r="H66" s="76">
        <v>0.16</v>
      </c>
      <c r="I66" s="16">
        <v>0.16</v>
      </c>
      <c r="J66" s="66">
        <v>1.1299999999999999</v>
      </c>
      <c r="K66" s="41">
        <v>0.24440000000000001</v>
      </c>
      <c r="L66" s="88" t="s">
        <v>251</v>
      </c>
      <c r="M66" s="1"/>
      <c r="N66" s="1"/>
      <c r="O66" s="11"/>
      <c r="P66" s="11"/>
      <c r="Q66" s="11"/>
      <c r="R66" s="11"/>
      <c r="S66" s="11"/>
      <c r="T66" s="11"/>
      <c r="U66" s="11"/>
      <c r="V66" s="11"/>
      <c r="W66" s="11"/>
      <c r="X66" s="11"/>
    </row>
    <row r="67" spans="1:24" ht="12.75" x14ac:dyDescent="0.2">
      <c r="A67" s="4"/>
      <c r="B67" s="31">
        <v>65</v>
      </c>
      <c r="C67" s="21" t="s">
        <v>252</v>
      </c>
      <c r="D67" s="13" t="s">
        <v>53</v>
      </c>
      <c r="E67" s="13" t="s">
        <v>111</v>
      </c>
      <c r="F67" s="12" t="s">
        <v>253</v>
      </c>
      <c r="G67" s="53" t="s">
        <v>73</v>
      </c>
      <c r="H67" s="68">
        <v>0</v>
      </c>
      <c r="I67" s="22">
        <v>0.33</v>
      </c>
      <c r="J67" s="66">
        <v>1</v>
      </c>
      <c r="K67" s="37">
        <v>0</v>
      </c>
      <c r="L67" s="88" t="s">
        <v>254</v>
      </c>
      <c r="M67" s="1"/>
      <c r="N67" s="1"/>
      <c r="O67" s="11"/>
      <c r="P67" s="11"/>
      <c r="Q67" s="11"/>
      <c r="R67" s="11"/>
      <c r="S67" s="11"/>
      <c r="T67" s="11"/>
      <c r="U67" s="11"/>
      <c r="V67" s="11"/>
      <c r="W67" s="11"/>
      <c r="X67" s="11"/>
    </row>
    <row r="68" spans="1:24" ht="12.75" x14ac:dyDescent="0.2">
      <c r="A68" s="4"/>
      <c r="B68" s="31">
        <v>66</v>
      </c>
      <c r="C68" s="21" t="s">
        <v>255</v>
      </c>
      <c r="D68" s="13" t="s">
        <v>13</v>
      </c>
      <c r="E68" s="13" t="s">
        <v>92</v>
      </c>
      <c r="F68" s="12" t="s">
        <v>190</v>
      </c>
      <c r="G68" s="53" t="s">
        <v>101</v>
      </c>
      <c r="H68" s="68">
        <v>5.9999999999999995E-4</v>
      </c>
      <c r="I68" s="22">
        <v>0.33100000000000002</v>
      </c>
      <c r="J68" s="66">
        <v>1</v>
      </c>
      <c r="K68" s="37">
        <f>H68/31*365</f>
        <v>7.064516129032257E-3</v>
      </c>
      <c r="L68" s="93" t="s">
        <v>256</v>
      </c>
      <c r="M68" s="1"/>
      <c r="N68" s="1"/>
      <c r="O68" s="11"/>
      <c r="P68" s="11"/>
      <c r="Q68" s="11"/>
      <c r="R68" s="11"/>
      <c r="S68" s="11"/>
      <c r="T68" s="11"/>
      <c r="U68" s="11"/>
      <c r="V68" s="11"/>
      <c r="W68" s="11"/>
      <c r="X68" s="11"/>
    </row>
    <row r="69" spans="1:24" ht="12.75" x14ac:dyDescent="0.2">
      <c r="A69" s="4"/>
      <c r="B69" s="31">
        <v>67</v>
      </c>
      <c r="C69" s="21" t="s">
        <v>257</v>
      </c>
      <c r="D69" s="13" t="s">
        <v>25</v>
      </c>
      <c r="E69" s="13" t="s">
        <v>111</v>
      </c>
      <c r="F69" s="12" t="s">
        <v>258</v>
      </c>
      <c r="G69" s="14" t="s">
        <v>116</v>
      </c>
      <c r="H69" s="77">
        <v>-0.15</v>
      </c>
      <c r="I69" s="22">
        <v>0.36</v>
      </c>
      <c r="J69" s="66">
        <v>0.88</v>
      </c>
      <c r="K69" s="37">
        <v>-2.6071</v>
      </c>
      <c r="L69" s="88" t="s">
        <v>259</v>
      </c>
      <c r="M69" s="1"/>
      <c r="N69" s="1"/>
    </row>
    <row r="70" spans="1:24" ht="12.75" x14ac:dyDescent="0.2">
      <c r="A70" s="4"/>
      <c r="B70" s="31">
        <v>68</v>
      </c>
      <c r="C70" s="21" t="s">
        <v>260</v>
      </c>
      <c r="D70" s="13" t="s">
        <v>13</v>
      </c>
      <c r="E70" s="13" t="s">
        <v>92</v>
      </c>
      <c r="F70" s="12" t="s">
        <v>261</v>
      </c>
      <c r="G70" s="14" t="s">
        <v>262</v>
      </c>
      <c r="H70" s="70">
        <v>-0.19170000000000001</v>
      </c>
      <c r="I70" s="22">
        <v>0.41820000000000002</v>
      </c>
      <c r="J70" s="66">
        <v>0.8</v>
      </c>
      <c r="K70" s="37">
        <f>H70/61*365</f>
        <v>-1.1470573770491805</v>
      </c>
      <c r="L70" s="90" t="s">
        <v>263</v>
      </c>
      <c r="M70" s="1"/>
      <c r="N70" s="1"/>
    </row>
    <row r="73" spans="1:24" ht="12.75" x14ac:dyDescent="0.2">
      <c r="A73" s="71"/>
      <c r="B73" s="72"/>
      <c r="C73" s="72"/>
      <c r="E73" s="72"/>
      <c r="G73" s="71"/>
    </row>
    <row r="74" spans="1:24" ht="12.75" x14ac:dyDescent="0.2">
      <c r="A74" s="71"/>
      <c r="B74" s="81" t="s">
        <v>264</v>
      </c>
      <c r="C74" s="79"/>
      <c r="E74" s="72"/>
      <c r="G74" s="71"/>
    </row>
    <row r="75" spans="1:24" ht="12.75" x14ac:dyDescent="0.2">
      <c r="A75" s="71"/>
      <c r="B75" s="73" t="s">
        <v>265</v>
      </c>
      <c r="C75" s="83" t="s">
        <v>266</v>
      </c>
      <c r="D75" s="79"/>
      <c r="E75" s="79"/>
      <c r="F75" s="79"/>
      <c r="G75" s="79"/>
      <c r="H75" s="79"/>
    </row>
    <row r="76" spans="1:24" ht="12.75" x14ac:dyDescent="0.2">
      <c r="A76" s="71"/>
      <c r="B76" s="73" t="s">
        <v>267</v>
      </c>
      <c r="C76" s="83" t="s">
        <v>283</v>
      </c>
      <c r="D76" s="79"/>
      <c r="E76" s="79"/>
      <c r="F76" s="79"/>
      <c r="G76" s="79"/>
      <c r="H76" s="79"/>
    </row>
    <row r="77" spans="1:24" ht="12.75" x14ac:dyDescent="0.2">
      <c r="A77" s="71"/>
      <c r="B77" s="73" t="s">
        <v>269</v>
      </c>
      <c r="C77" s="82" t="s">
        <v>270</v>
      </c>
      <c r="D77" s="79"/>
      <c r="E77" s="79"/>
      <c r="F77" s="79"/>
      <c r="G77" s="79"/>
      <c r="H77" s="79"/>
    </row>
    <row r="78" spans="1:24" ht="12.75" x14ac:dyDescent="0.2">
      <c r="A78" s="71"/>
      <c r="B78" s="73" t="s">
        <v>271</v>
      </c>
      <c r="C78" s="78" t="s">
        <v>284</v>
      </c>
      <c r="D78" s="79"/>
      <c r="E78" s="79"/>
      <c r="F78" s="79"/>
      <c r="G78" s="79"/>
      <c r="H78" s="79"/>
    </row>
    <row r="79" spans="1:24" ht="12.75" x14ac:dyDescent="0.2">
      <c r="A79" s="71"/>
      <c r="B79" s="73" t="s">
        <v>273</v>
      </c>
      <c r="C79" s="82" t="s">
        <v>274</v>
      </c>
      <c r="D79" s="79"/>
      <c r="E79" s="79"/>
      <c r="F79" s="79"/>
      <c r="G79" s="79"/>
      <c r="H79" s="79"/>
    </row>
    <row r="80" spans="1:24" ht="12.75" x14ac:dyDescent="0.2">
      <c r="A80" s="71"/>
      <c r="B80" s="73" t="s">
        <v>275</v>
      </c>
      <c r="C80" s="78" t="s">
        <v>285</v>
      </c>
      <c r="D80" s="79"/>
      <c r="E80" s="79"/>
      <c r="F80" s="79"/>
      <c r="G80" s="79"/>
      <c r="H80" s="79"/>
    </row>
    <row r="81" spans="1:8" ht="12.75" x14ac:dyDescent="0.2">
      <c r="A81" s="71"/>
      <c r="B81" s="73" t="s">
        <v>277</v>
      </c>
      <c r="C81" s="78" t="s">
        <v>286</v>
      </c>
      <c r="D81" s="79"/>
      <c r="E81" s="79"/>
      <c r="F81" s="79"/>
      <c r="G81" s="79"/>
      <c r="H81" s="79"/>
    </row>
    <row r="82" spans="1:8" ht="12.75" x14ac:dyDescent="0.2">
      <c r="A82" s="71"/>
      <c r="B82" s="74" t="s">
        <v>279</v>
      </c>
      <c r="C82" s="80" t="s">
        <v>280</v>
      </c>
      <c r="D82" s="79"/>
      <c r="E82" s="79"/>
      <c r="F82" s="79"/>
      <c r="G82" s="79"/>
      <c r="H82" s="79"/>
    </row>
    <row r="83" spans="1:8" ht="12.75" x14ac:dyDescent="0.2">
      <c r="A83" s="71"/>
      <c r="B83" s="74" t="s">
        <v>281</v>
      </c>
      <c r="C83" s="80" t="s">
        <v>282</v>
      </c>
      <c r="D83" s="79"/>
      <c r="E83" s="79"/>
      <c r="F83" s="79"/>
      <c r="G83" s="79"/>
      <c r="H83" s="79"/>
    </row>
    <row r="84" spans="1:8" ht="12.75" x14ac:dyDescent="0.2">
      <c r="A84" s="71"/>
      <c r="B84" s="72"/>
      <c r="C84" s="72"/>
      <c r="E84" s="72"/>
      <c r="G84" s="71"/>
    </row>
    <row r="85" spans="1:8" ht="12.75" x14ac:dyDescent="0.2">
      <c r="A85" s="71"/>
      <c r="B85" s="72"/>
      <c r="C85" s="72"/>
      <c r="E85" s="72"/>
      <c r="G85" s="71"/>
    </row>
    <row r="86" spans="1:8" ht="12.75" x14ac:dyDescent="0.2">
      <c r="A86" s="71"/>
      <c r="B86" s="72"/>
      <c r="C86" s="72"/>
      <c r="E86" s="72"/>
      <c r="G86" s="71"/>
    </row>
    <row r="87" spans="1:8" ht="12.75" x14ac:dyDescent="0.2">
      <c r="A87" s="71"/>
      <c r="B87" s="72"/>
      <c r="C87" s="72"/>
      <c r="E87" s="72"/>
      <c r="G87" s="71"/>
    </row>
    <row r="88" spans="1:8" ht="12.75" x14ac:dyDescent="0.2">
      <c r="A88" s="71"/>
      <c r="B88" s="72"/>
      <c r="C88" s="72"/>
      <c r="E88" s="72"/>
      <c r="G88" s="71"/>
    </row>
    <row r="89" spans="1:8" ht="12.75" x14ac:dyDescent="0.2">
      <c r="A89" s="71"/>
      <c r="B89" s="72"/>
      <c r="C89" s="72"/>
      <c r="E89" s="72"/>
      <c r="G89" s="71"/>
    </row>
    <row r="90" spans="1:8" ht="12.75" x14ac:dyDescent="0.2">
      <c r="A90" s="71"/>
      <c r="B90" s="72"/>
      <c r="C90" s="72"/>
      <c r="E90" s="72"/>
      <c r="G90" s="71"/>
    </row>
    <row r="91" spans="1:8" ht="12.75" x14ac:dyDescent="0.2">
      <c r="A91" s="71"/>
      <c r="B91" s="72"/>
      <c r="C91" s="72"/>
      <c r="E91" s="72"/>
      <c r="G91" s="71"/>
    </row>
    <row r="92" spans="1:8" ht="12.75" x14ac:dyDescent="0.2">
      <c r="A92" s="71"/>
      <c r="B92" s="72"/>
      <c r="C92" s="72"/>
      <c r="E92" s="72"/>
      <c r="G92" s="71"/>
    </row>
    <row r="93" spans="1:8" ht="12.75" x14ac:dyDescent="0.2">
      <c r="A93" s="71"/>
      <c r="B93" s="72"/>
      <c r="C93" s="72"/>
      <c r="E93" s="72"/>
      <c r="G93" s="71"/>
    </row>
    <row r="94" spans="1:8" ht="12.75" x14ac:dyDescent="0.2">
      <c r="A94" s="71"/>
      <c r="B94" s="72"/>
      <c r="C94" s="72"/>
      <c r="E94" s="72"/>
      <c r="G94" s="71"/>
    </row>
    <row r="95" spans="1:8" ht="12.75" x14ac:dyDescent="0.2">
      <c r="A95" s="71"/>
      <c r="B95" s="72"/>
      <c r="C95" s="72"/>
      <c r="E95" s="72"/>
      <c r="G95" s="71"/>
    </row>
    <row r="96" spans="1:8" ht="12.75" x14ac:dyDescent="0.2">
      <c r="A96" s="71"/>
      <c r="B96" s="72"/>
      <c r="C96" s="72"/>
      <c r="E96" s="72"/>
      <c r="G96" s="71"/>
    </row>
    <row r="97" spans="1:7" ht="12.75" x14ac:dyDescent="0.2">
      <c r="A97" s="71"/>
      <c r="B97" s="72"/>
      <c r="C97" s="72"/>
      <c r="E97" s="72"/>
      <c r="G97" s="71"/>
    </row>
    <row r="98" spans="1:7" ht="12.75" x14ac:dyDescent="0.2">
      <c r="A98" s="71"/>
      <c r="B98" s="72"/>
      <c r="C98" s="72"/>
      <c r="E98" s="72"/>
      <c r="G98" s="71"/>
    </row>
    <row r="99" spans="1:7" ht="12.75" x14ac:dyDescent="0.2">
      <c r="A99" s="71"/>
      <c r="B99" s="72"/>
      <c r="C99" s="72"/>
      <c r="E99" s="72"/>
      <c r="G99" s="71"/>
    </row>
    <row r="100" spans="1:7" ht="12.75" x14ac:dyDescent="0.2">
      <c r="A100" s="71"/>
      <c r="B100" s="72"/>
      <c r="C100" s="72"/>
      <c r="E100" s="72"/>
      <c r="G100" s="71"/>
    </row>
    <row r="101" spans="1:7" ht="12.75" x14ac:dyDescent="0.2">
      <c r="A101" s="71"/>
      <c r="B101" s="72"/>
      <c r="C101" s="72"/>
      <c r="E101" s="72"/>
      <c r="G101" s="71"/>
    </row>
    <row r="102" spans="1:7" ht="12.75" x14ac:dyDescent="0.2">
      <c r="A102" s="71"/>
      <c r="B102" s="72"/>
      <c r="C102" s="72"/>
      <c r="E102" s="72"/>
      <c r="G102" s="71"/>
    </row>
    <row r="103" spans="1:7" ht="12.75" x14ac:dyDescent="0.2">
      <c r="A103" s="71"/>
      <c r="B103" s="72"/>
      <c r="C103" s="72"/>
      <c r="E103" s="72"/>
      <c r="G103" s="71"/>
    </row>
    <row r="104" spans="1:7" ht="12.75" x14ac:dyDescent="0.2">
      <c r="A104" s="71"/>
      <c r="B104" s="72"/>
      <c r="C104" s="72"/>
      <c r="E104" s="72"/>
      <c r="G104" s="71"/>
    </row>
    <row r="105" spans="1:7" ht="12.75" x14ac:dyDescent="0.2">
      <c r="A105" s="71"/>
      <c r="B105" s="72"/>
      <c r="C105" s="72"/>
      <c r="E105" s="72"/>
      <c r="G105" s="71"/>
    </row>
    <row r="106" spans="1:7" ht="12.75" x14ac:dyDescent="0.2">
      <c r="A106" s="71"/>
      <c r="B106" s="72"/>
      <c r="C106" s="72"/>
      <c r="E106" s="72"/>
      <c r="G106" s="71"/>
    </row>
    <row r="107" spans="1:7" ht="12.75" x14ac:dyDescent="0.2">
      <c r="A107" s="71"/>
      <c r="B107" s="72"/>
      <c r="C107" s="72"/>
      <c r="E107" s="72"/>
      <c r="G107" s="71"/>
    </row>
    <row r="108" spans="1:7" ht="12.75" x14ac:dyDescent="0.2">
      <c r="A108" s="71"/>
      <c r="B108" s="72"/>
      <c r="C108" s="72"/>
      <c r="E108" s="72"/>
      <c r="G108" s="71"/>
    </row>
    <row r="109" spans="1:7" ht="12.75" x14ac:dyDescent="0.2">
      <c r="A109" s="71"/>
      <c r="B109" s="72"/>
      <c r="C109" s="72"/>
      <c r="E109" s="72"/>
      <c r="G109" s="71"/>
    </row>
    <row r="110" spans="1:7" ht="12.75" x14ac:dyDescent="0.2">
      <c r="A110" s="71"/>
      <c r="B110" s="72"/>
      <c r="C110" s="72"/>
      <c r="E110" s="72"/>
      <c r="G110" s="71"/>
    </row>
    <row r="111" spans="1:7" ht="12.75" x14ac:dyDescent="0.2">
      <c r="A111" s="71"/>
      <c r="B111" s="72"/>
      <c r="C111" s="72"/>
      <c r="E111" s="72"/>
      <c r="G111" s="71"/>
    </row>
    <row r="112" spans="1:7" ht="12.75" x14ac:dyDescent="0.2">
      <c r="A112" s="71"/>
      <c r="B112" s="72"/>
      <c r="C112" s="72"/>
      <c r="E112" s="72"/>
      <c r="G112" s="71"/>
    </row>
    <row r="113" spans="1:7" ht="12.75" x14ac:dyDescent="0.2">
      <c r="A113" s="71"/>
      <c r="B113" s="72"/>
      <c r="C113" s="72"/>
      <c r="E113" s="72"/>
      <c r="G113" s="71"/>
    </row>
    <row r="114" spans="1:7" ht="12.75" x14ac:dyDescent="0.2">
      <c r="A114" s="71"/>
      <c r="B114" s="72"/>
      <c r="C114" s="72"/>
      <c r="E114" s="72"/>
      <c r="G114" s="71"/>
    </row>
    <row r="115" spans="1:7" ht="12.75" x14ac:dyDescent="0.2">
      <c r="A115" s="71"/>
      <c r="B115" s="72"/>
      <c r="C115" s="72"/>
      <c r="E115" s="72"/>
      <c r="G115" s="71"/>
    </row>
    <row r="116" spans="1:7" ht="12.75" x14ac:dyDescent="0.2">
      <c r="A116" s="71"/>
      <c r="B116" s="72"/>
      <c r="C116" s="72"/>
      <c r="E116" s="72"/>
      <c r="G116" s="71"/>
    </row>
    <row r="117" spans="1:7" ht="12.75" x14ac:dyDescent="0.2">
      <c r="A117" s="71"/>
      <c r="B117" s="72"/>
      <c r="C117" s="72"/>
      <c r="E117" s="72"/>
      <c r="G117" s="71"/>
    </row>
    <row r="118" spans="1:7" ht="12.75" x14ac:dyDescent="0.2">
      <c r="A118" s="71"/>
      <c r="B118" s="72"/>
      <c r="C118" s="72"/>
      <c r="E118" s="72"/>
      <c r="G118" s="71"/>
    </row>
    <row r="119" spans="1:7" ht="12.75" x14ac:dyDescent="0.2">
      <c r="A119" s="71"/>
      <c r="B119" s="72"/>
      <c r="C119" s="72"/>
      <c r="E119" s="72"/>
      <c r="G119" s="71"/>
    </row>
    <row r="120" spans="1:7" ht="12.75" x14ac:dyDescent="0.2">
      <c r="A120" s="71"/>
      <c r="B120" s="72"/>
      <c r="C120" s="72"/>
      <c r="E120" s="72"/>
      <c r="G120" s="71"/>
    </row>
    <row r="121" spans="1:7" ht="12.75" x14ac:dyDescent="0.2">
      <c r="A121" s="71"/>
      <c r="B121" s="72"/>
      <c r="C121" s="72"/>
      <c r="E121" s="72"/>
      <c r="G121" s="71"/>
    </row>
    <row r="122" spans="1:7" ht="12.75" x14ac:dyDescent="0.2">
      <c r="A122" s="71"/>
      <c r="B122" s="72"/>
      <c r="C122" s="72"/>
      <c r="E122" s="72"/>
      <c r="G122" s="71"/>
    </row>
    <row r="123" spans="1:7" ht="12.75" x14ac:dyDescent="0.2">
      <c r="A123" s="71"/>
      <c r="B123" s="72"/>
      <c r="C123" s="72"/>
      <c r="E123" s="72"/>
      <c r="G123" s="71"/>
    </row>
    <row r="124" spans="1:7" ht="12.75" x14ac:dyDescent="0.2">
      <c r="A124" s="71"/>
      <c r="B124" s="72"/>
      <c r="C124" s="72"/>
      <c r="E124" s="72"/>
      <c r="G124" s="71"/>
    </row>
    <row r="125" spans="1:7" ht="12.75" x14ac:dyDescent="0.2">
      <c r="A125" s="71"/>
      <c r="B125" s="72"/>
      <c r="C125" s="72"/>
      <c r="E125" s="72"/>
      <c r="G125" s="71"/>
    </row>
    <row r="126" spans="1:7" ht="12.75" x14ac:dyDescent="0.2">
      <c r="A126" s="71"/>
      <c r="B126" s="72"/>
      <c r="C126" s="72"/>
      <c r="E126" s="72"/>
      <c r="G126" s="71"/>
    </row>
    <row r="127" spans="1:7" ht="12.75" x14ac:dyDescent="0.2">
      <c r="A127" s="71"/>
      <c r="B127" s="72"/>
      <c r="C127" s="72"/>
      <c r="E127" s="72"/>
      <c r="G127" s="71"/>
    </row>
    <row r="128" spans="1:7" ht="12.75" x14ac:dyDescent="0.2">
      <c r="A128" s="71"/>
      <c r="B128" s="72"/>
      <c r="C128" s="72"/>
      <c r="E128" s="72"/>
      <c r="G128" s="71"/>
    </row>
    <row r="129" spans="1:7" ht="12.75" x14ac:dyDescent="0.2">
      <c r="A129" s="71"/>
      <c r="B129" s="72"/>
      <c r="C129" s="72"/>
      <c r="E129" s="72"/>
      <c r="G129" s="71"/>
    </row>
    <row r="130" spans="1:7" ht="12.75" x14ac:dyDescent="0.2">
      <c r="A130" s="71"/>
      <c r="B130" s="72"/>
      <c r="C130" s="72"/>
      <c r="E130" s="72"/>
      <c r="G130" s="71"/>
    </row>
    <row r="131" spans="1:7" ht="12.75" x14ac:dyDescent="0.2">
      <c r="A131" s="71"/>
      <c r="B131" s="72"/>
      <c r="C131" s="72"/>
      <c r="E131" s="72"/>
      <c r="G131" s="71"/>
    </row>
    <row r="132" spans="1:7" ht="12.75" x14ac:dyDescent="0.2">
      <c r="A132" s="71"/>
      <c r="B132" s="72"/>
      <c r="C132" s="72"/>
      <c r="E132" s="72"/>
      <c r="G132" s="71"/>
    </row>
    <row r="133" spans="1:7" ht="12.75" x14ac:dyDescent="0.2">
      <c r="A133" s="71"/>
      <c r="B133" s="72"/>
      <c r="C133" s="72"/>
      <c r="E133" s="72"/>
      <c r="G133" s="71"/>
    </row>
    <row r="134" spans="1:7" ht="12.75" x14ac:dyDescent="0.2">
      <c r="A134" s="71"/>
      <c r="B134" s="72"/>
      <c r="C134" s="72"/>
      <c r="E134" s="72"/>
      <c r="G134" s="71"/>
    </row>
    <row r="135" spans="1:7" ht="12.75" x14ac:dyDescent="0.2">
      <c r="A135" s="71"/>
      <c r="B135" s="72"/>
      <c r="C135" s="72"/>
      <c r="E135" s="72"/>
      <c r="G135" s="71"/>
    </row>
    <row r="136" spans="1:7" ht="12.75" x14ac:dyDescent="0.2">
      <c r="A136" s="71"/>
      <c r="B136" s="72"/>
      <c r="C136" s="72"/>
      <c r="E136" s="72"/>
      <c r="G136" s="71"/>
    </row>
    <row r="137" spans="1:7" ht="12.75" x14ac:dyDescent="0.2">
      <c r="A137" s="71"/>
      <c r="B137" s="72"/>
      <c r="C137" s="72"/>
      <c r="E137" s="72"/>
      <c r="G137" s="71"/>
    </row>
    <row r="138" spans="1:7" ht="12.75" x14ac:dyDescent="0.2">
      <c r="A138" s="71"/>
      <c r="B138" s="72"/>
      <c r="C138" s="72"/>
      <c r="E138" s="72"/>
      <c r="G138" s="71"/>
    </row>
    <row r="139" spans="1:7" ht="12.75" x14ac:dyDescent="0.2">
      <c r="A139" s="71"/>
      <c r="B139" s="72"/>
      <c r="C139" s="72"/>
      <c r="E139" s="72"/>
      <c r="G139" s="71"/>
    </row>
    <row r="140" spans="1:7" ht="12.75" x14ac:dyDescent="0.2">
      <c r="A140" s="71"/>
      <c r="B140" s="72"/>
      <c r="C140" s="72"/>
      <c r="E140" s="72"/>
      <c r="G140" s="71"/>
    </row>
    <row r="141" spans="1:7" ht="12.75" x14ac:dyDescent="0.2">
      <c r="A141" s="71"/>
      <c r="B141" s="72"/>
      <c r="C141" s="72"/>
      <c r="E141" s="72"/>
      <c r="G141" s="71"/>
    </row>
    <row r="142" spans="1:7" ht="12.75" x14ac:dyDescent="0.2">
      <c r="A142" s="71"/>
      <c r="B142" s="72"/>
      <c r="C142" s="72"/>
      <c r="E142" s="72"/>
      <c r="G142" s="71"/>
    </row>
    <row r="143" spans="1:7" ht="12.75" x14ac:dyDescent="0.2">
      <c r="A143" s="71"/>
      <c r="B143" s="72"/>
      <c r="C143" s="72"/>
      <c r="E143" s="72"/>
      <c r="G143" s="71"/>
    </row>
    <row r="144" spans="1:7" ht="12.75" x14ac:dyDescent="0.2">
      <c r="A144" s="71"/>
      <c r="B144" s="72"/>
      <c r="C144" s="72"/>
      <c r="E144" s="72"/>
      <c r="G144" s="71"/>
    </row>
    <row r="145" spans="1:7" ht="12.75" x14ac:dyDescent="0.2">
      <c r="A145" s="71"/>
      <c r="B145" s="72"/>
      <c r="C145" s="72"/>
      <c r="E145" s="72"/>
      <c r="G145" s="71"/>
    </row>
    <row r="146" spans="1:7" ht="12.75" x14ac:dyDescent="0.2">
      <c r="A146" s="71"/>
      <c r="B146" s="72"/>
      <c r="C146" s="72"/>
      <c r="E146" s="72"/>
      <c r="G146" s="71"/>
    </row>
    <row r="147" spans="1:7" ht="12.75" x14ac:dyDescent="0.2">
      <c r="A147" s="71"/>
      <c r="B147" s="72"/>
      <c r="C147" s="72"/>
      <c r="E147" s="72"/>
      <c r="G147" s="71"/>
    </row>
    <row r="148" spans="1:7" ht="12.75" x14ac:dyDescent="0.2">
      <c r="A148" s="71"/>
      <c r="B148" s="72"/>
      <c r="C148" s="72"/>
      <c r="E148" s="72"/>
      <c r="G148" s="71"/>
    </row>
    <row r="149" spans="1:7" ht="12.75" x14ac:dyDescent="0.2">
      <c r="A149" s="71"/>
      <c r="B149" s="72"/>
      <c r="C149" s="72"/>
      <c r="E149" s="72"/>
      <c r="G149" s="71"/>
    </row>
    <row r="150" spans="1:7" ht="12.75" x14ac:dyDescent="0.2">
      <c r="A150" s="71"/>
      <c r="B150" s="72"/>
      <c r="C150" s="72"/>
      <c r="E150" s="72"/>
      <c r="G150" s="71"/>
    </row>
    <row r="151" spans="1:7" ht="12.75" x14ac:dyDescent="0.2">
      <c r="A151" s="71"/>
      <c r="B151" s="72"/>
      <c r="C151" s="72"/>
      <c r="E151" s="72"/>
      <c r="G151" s="71"/>
    </row>
    <row r="152" spans="1:7" ht="12.75" x14ac:dyDescent="0.2">
      <c r="A152" s="71"/>
      <c r="B152" s="72"/>
      <c r="C152" s="72"/>
      <c r="E152" s="72"/>
      <c r="G152" s="71"/>
    </row>
    <row r="153" spans="1:7" ht="12.75" x14ac:dyDescent="0.2">
      <c r="A153" s="71"/>
      <c r="B153" s="72"/>
      <c r="C153" s="72"/>
      <c r="E153" s="72"/>
      <c r="G153" s="71"/>
    </row>
    <row r="154" spans="1:7" ht="12.75" x14ac:dyDescent="0.2">
      <c r="A154" s="71"/>
      <c r="B154" s="72"/>
      <c r="C154" s="72"/>
      <c r="E154" s="72"/>
      <c r="G154" s="71"/>
    </row>
    <row r="155" spans="1:7" ht="12.75" x14ac:dyDescent="0.2">
      <c r="A155" s="71"/>
      <c r="B155" s="72"/>
      <c r="C155" s="72"/>
      <c r="E155" s="72"/>
      <c r="G155" s="71"/>
    </row>
    <row r="156" spans="1:7" ht="12.75" x14ac:dyDescent="0.2">
      <c r="A156" s="71"/>
      <c r="B156" s="72"/>
      <c r="C156" s="72"/>
      <c r="E156" s="72"/>
      <c r="G156" s="71"/>
    </row>
    <row r="157" spans="1:7" ht="12.75" x14ac:dyDescent="0.2">
      <c r="A157" s="71"/>
      <c r="B157" s="72"/>
      <c r="C157" s="72"/>
      <c r="E157" s="72"/>
      <c r="G157" s="71"/>
    </row>
    <row r="158" spans="1:7" ht="12.75" x14ac:dyDescent="0.2">
      <c r="A158" s="71"/>
      <c r="B158" s="72"/>
      <c r="C158" s="72"/>
      <c r="E158" s="72"/>
      <c r="G158" s="71"/>
    </row>
    <row r="159" spans="1:7" ht="12.75" x14ac:dyDescent="0.2">
      <c r="A159" s="71"/>
      <c r="B159" s="72"/>
      <c r="C159" s="72"/>
      <c r="E159" s="72"/>
      <c r="G159" s="71"/>
    </row>
    <row r="160" spans="1:7" ht="12.75" x14ac:dyDescent="0.2">
      <c r="A160" s="71"/>
      <c r="B160" s="72"/>
      <c r="C160" s="72"/>
      <c r="E160" s="72"/>
      <c r="G160" s="71"/>
    </row>
    <row r="161" spans="1:7" ht="12.75" x14ac:dyDescent="0.2">
      <c r="A161" s="71"/>
      <c r="B161" s="72"/>
      <c r="C161" s="72"/>
      <c r="E161" s="72"/>
      <c r="G161" s="71"/>
    </row>
    <row r="162" spans="1:7" ht="12.75" x14ac:dyDescent="0.2">
      <c r="A162" s="71"/>
      <c r="B162" s="72"/>
      <c r="C162" s="72"/>
      <c r="E162" s="72"/>
      <c r="G162" s="71"/>
    </row>
    <row r="163" spans="1:7" ht="12.75" x14ac:dyDescent="0.2">
      <c r="A163" s="71"/>
      <c r="B163" s="72"/>
      <c r="C163" s="72"/>
      <c r="E163" s="72"/>
      <c r="G163" s="71"/>
    </row>
    <row r="164" spans="1:7" ht="12.75" x14ac:dyDescent="0.2">
      <c r="A164" s="71"/>
      <c r="B164" s="72"/>
      <c r="C164" s="72"/>
      <c r="E164" s="72"/>
      <c r="G164" s="71"/>
    </row>
    <row r="165" spans="1:7" ht="12.75" x14ac:dyDescent="0.2">
      <c r="A165" s="71"/>
      <c r="B165" s="72"/>
      <c r="C165" s="72"/>
      <c r="E165" s="72"/>
      <c r="G165" s="71"/>
    </row>
    <row r="166" spans="1:7" ht="12.75" x14ac:dyDescent="0.2">
      <c r="A166" s="71"/>
      <c r="B166" s="72"/>
      <c r="C166" s="72"/>
      <c r="E166" s="72"/>
      <c r="G166" s="71"/>
    </row>
    <row r="167" spans="1:7" ht="12.75" x14ac:dyDescent="0.2">
      <c r="A167" s="71"/>
      <c r="B167" s="72"/>
      <c r="C167" s="72"/>
      <c r="E167" s="72"/>
      <c r="G167" s="71"/>
    </row>
    <row r="168" spans="1:7" ht="12.75" x14ac:dyDescent="0.2">
      <c r="A168" s="71"/>
      <c r="B168" s="72"/>
      <c r="C168" s="72"/>
      <c r="E168" s="72"/>
      <c r="G168" s="71"/>
    </row>
    <row r="169" spans="1:7" ht="12.75" x14ac:dyDescent="0.2">
      <c r="A169" s="71"/>
      <c r="B169" s="72"/>
      <c r="C169" s="72"/>
      <c r="E169" s="72"/>
      <c r="G169" s="71"/>
    </row>
    <row r="170" spans="1:7" ht="12.75" x14ac:dyDescent="0.2">
      <c r="A170" s="71"/>
      <c r="B170" s="72"/>
      <c r="C170" s="72"/>
      <c r="E170" s="72"/>
      <c r="G170" s="71"/>
    </row>
    <row r="171" spans="1:7" ht="12.75" x14ac:dyDescent="0.2">
      <c r="A171" s="71"/>
      <c r="B171" s="72"/>
      <c r="C171" s="72"/>
      <c r="E171" s="72"/>
      <c r="G171" s="71"/>
    </row>
    <row r="172" spans="1:7" ht="12.75" x14ac:dyDescent="0.2">
      <c r="A172" s="71"/>
      <c r="B172" s="72"/>
      <c r="C172" s="72"/>
      <c r="E172" s="72"/>
      <c r="G172" s="71"/>
    </row>
    <row r="173" spans="1:7" ht="12.75" x14ac:dyDescent="0.2">
      <c r="A173" s="71"/>
      <c r="B173" s="72"/>
      <c r="C173" s="72"/>
      <c r="E173" s="72"/>
      <c r="G173" s="71"/>
    </row>
    <row r="174" spans="1:7" ht="12.75" x14ac:dyDescent="0.2">
      <c r="A174" s="71"/>
      <c r="B174" s="72"/>
      <c r="C174" s="72"/>
      <c r="E174" s="72"/>
      <c r="G174" s="71"/>
    </row>
    <row r="175" spans="1:7" ht="12.75" x14ac:dyDescent="0.2">
      <c r="A175" s="71"/>
      <c r="B175" s="72"/>
      <c r="C175" s="72"/>
      <c r="E175" s="72"/>
      <c r="G175" s="71"/>
    </row>
    <row r="176" spans="1:7" ht="12.75" x14ac:dyDescent="0.2">
      <c r="A176" s="71"/>
      <c r="B176" s="72"/>
      <c r="C176" s="72"/>
      <c r="E176" s="72"/>
      <c r="G176" s="71"/>
    </row>
    <row r="177" spans="1:7" ht="12.75" x14ac:dyDescent="0.2">
      <c r="A177" s="71"/>
      <c r="B177" s="72"/>
      <c r="C177" s="72"/>
      <c r="E177" s="72"/>
      <c r="G177" s="71"/>
    </row>
    <row r="178" spans="1:7" ht="12.75" x14ac:dyDescent="0.2">
      <c r="A178" s="71"/>
      <c r="B178" s="72"/>
      <c r="C178" s="72"/>
      <c r="E178" s="72"/>
      <c r="G178" s="71"/>
    </row>
    <row r="179" spans="1:7" ht="12.75" x14ac:dyDescent="0.2">
      <c r="A179" s="71"/>
      <c r="B179" s="72"/>
      <c r="C179" s="72"/>
      <c r="E179" s="72"/>
      <c r="G179" s="71"/>
    </row>
    <row r="180" spans="1:7" ht="12.75" x14ac:dyDescent="0.2">
      <c r="A180" s="71"/>
      <c r="B180" s="72"/>
      <c r="C180" s="72"/>
      <c r="E180" s="72"/>
      <c r="G180" s="71"/>
    </row>
    <row r="181" spans="1:7" ht="12.75" x14ac:dyDescent="0.2">
      <c r="A181" s="71"/>
      <c r="B181" s="72"/>
      <c r="C181" s="72"/>
      <c r="E181" s="72"/>
      <c r="G181" s="71"/>
    </row>
    <row r="182" spans="1:7" ht="12.75" x14ac:dyDescent="0.2">
      <c r="A182" s="71"/>
      <c r="B182" s="72"/>
      <c r="C182" s="72"/>
      <c r="E182" s="72"/>
      <c r="G182" s="71"/>
    </row>
    <row r="183" spans="1:7" ht="12.75" x14ac:dyDescent="0.2">
      <c r="A183" s="71"/>
      <c r="B183" s="72"/>
      <c r="C183" s="72"/>
      <c r="E183" s="72"/>
      <c r="G183" s="71"/>
    </row>
    <row r="184" spans="1:7" ht="12.75" x14ac:dyDescent="0.2">
      <c r="A184" s="71"/>
      <c r="B184" s="72"/>
      <c r="C184" s="72"/>
      <c r="E184" s="72"/>
      <c r="G184" s="71"/>
    </row>
    <row r="185" spans="1:7" ht="12.75" x14ac:dyDescent="0.2">
      <c r="A185" s="71"/>
      <c r="B185" s="72"/>
      <c r="C185" s="72"/>
      <c r="E185" s="72"/>
      <c r="G185" s="71"/>
    </row>
    <row r="186" spans="1:7" ht="12.75" x14ac:dyDescent="0.2">
      <c r="A186" s="71"/>
      <c r="B186" s="72"/>
      <c r="C186" s="72"/>
      <c r="E186" s="72"/>
      <c r="G186" s="71"/>
    </row>
    <row r="187" spans="1:7" ht="12.75" x14ac:dyDescent="0.2">
      <c r="A187" s="71"/>
      <c r="B187" s="72"/>
      <c r="C187" s="72"/>
      <c r="E187" s="72"/>
      <c r="G187" s="71"/>
    </row>
    <row r="188" spans="1:7" ht="12.75" x14ac:dyDescent="0.2">
      <c r="A188" s="71"/>
      <c r="B188" s="72"/>
      <c r="C188" s="72"/>
      <c r="E188" s="72"/>
      <c r="G188" s="71"/>
    </row>
    <row r="189" spans="1:7" ht="12.75" x14ac:dyDescent="0.2">
      <c r="A189" s="71"/>
      <c r="B189" s="72"/>
      <c r="C189" s="72"/>
      <c r="E189" s="72"/>
      <c r="G189" s="71"/>
    </row>
    <row r="190" spans="1:7" ht="12.75" x14ac:dyDescent="0.2">
      <c r="A190" s="71"/>
      <c r="B190" s="72"/>
      <c r="C190" s="72"/>
      <c r="E190" s="72"/>
      <c r="G190" s="71"/>
    </row>
    <row r="191" spans="1:7" ht="12.75" x14ac:dyDescent="0.2">
      <c r="A191" s="71"/>
      <c r="B191" s="72"/>
      <c r="C191" s="72"/>
      <c r="E191" s="72"/>
      <c r="G191" s="71"/>
    </row>
    <row r="192" spans="1:7" ht="12.75" x14ac:dyDescent="0.2">
      <c r="A192" s="71"/>
      <c r="B192" s="72"/>
      <c r="C192" s="72"/>
      <c r="E192" s="72"/>
      <c r="G192" s="71"/>
    </row>
    <row r="193" spans="1:7" ht="12.75" x14ac:dyDescent="0.2">
      <c r="A193" s="71"/>
      <c r="B193" s="72"/>
      <c r="C193" s="72"/>
      <c r="E193" s="72"/>
      <c r="G193" s="71"/>
    </row>
    <row r="194" spans="1:7" ht="12.75" x14ac:dyDescent="0.2">
      <c r="A194" s="71"/>
      <c r="B194" s="72"/>
      <c r="C194" s="72"/>
      <c r="E194" s="72"/>
      <c r="G194" s="71"/>
    </row>
    <row r="195" spans="1:7" ht="12.75" x14ac:dyDescent="0.2">
      <c r="A195" s="71"/>
      <c r="B195" s="72"/>
      <c r="C195" s="72"/>
      <c r="E195" s="72"/>
      <c r="G195" s="71"/>
    </row>
    <row r="196" spans="1:7" ht="12.75" x14ac:dyDescent="0.2">
      <c r="A196" s="71"/>
      <c r="B196" s="72"/>
      <c r="C196" s="72"/>
      <c r="E196" s="72"/>
      <c r="G196" s="71"/>
    </row>
    <row r="197" spans="1:7" ht="12.75" x14ac:dyDescent="0.2">
      <c r="A197" s="71"/>
      <c r="B197" s="72"/>
      <c r="C197" s="72"/>
      <c r="E197" s="72"/>
      <c r="G197" s="71"/>
    </row>
    <row r="198" spans="1:7" ht="12.75" x14ac:dyDescent="0.2">
      <c r="A198" s="71"/>
      <c r="B198" s="72"/>
      <c r="C198" s="72"/>
      <c r="E198" s="72"/>
      <c r="G198" s="71"/>
    </row>
    <row r="199" spans="1:7" ht="12.75" x14ac:dyDescent="0.2">
      <c r="A199" s="71"/>
      <c r="B199" s="72"/>
      <c r="C199" s="72"/>
      <c r="E199" s="72"/>
      <c r="G199" s="71"/>
    </row>
    <row r="200" spans="1:7" ht="12.75" x14ac:dyDescent="0.2">
      <c r="A200" s="71"/>
      <c r="B200" s="72"/>
      <c r="C200" s="72"/>
      <c r="E200" s="72"/>
      <c r="G200" s="71"/>
    </row>
    <row r="201" spans="1:7" ht="12.75" x14ac:dyDescent="0.2">
      <c r="A201" s="71"/>
      <c r="B201" s="72"/>
      <c r="C201" s="72"/>
      <c r="E201" s="72"/>
      <c r="G201" s="71"/>
    </row>
    <row r="202" spans="1:7" ht="12.75" x14ac:dyDescent="0.2">
      <c r="A202" s="71"/>
      <c r="B202" s="72"/>
      <c r="C202" s="72"/>
      <c r="E202" s="72"/>
      <c r="G202" s="71"/>
    </row>
    <row r="203" spans="1:7" ht="12.75" x14ac:dyDescent="0.2">
      <c r="A203" s="71"/>
      <c r="B203" s="72"/>
      <c r="C203" s="72"/>
      <c r="E203" s="72"/>
      <c r="G203" s="71"/>
    </row>
    <row r="204" spans="1:7" ht="12.75" x14ac:dyDescent="0.2">
      <c r="A204" s="71"/>
      <c r="B204" s="72"/>
      <c r="C204" s="72"/>
      <c r="E204" s="72"/>
      <c r="G204" s="71"/>
    </row>
    <row r="205" spans="1:7" ht="12.75" x14ac:dyDescent="0.2">
      <c r="A205" s="71"/>
      <c r="B205" s="72"/>
      <c r="C205" s="72"/>
      <c r="E205" s="72"/>
      <c r="G205" s="71"/>
    </row>
    <row r="206" spans="1:7" ht="12.75" x14ac:dyDescent="0.2">
      <c r="A206" s="71"/>
      <c r="B206" s="72"/>
      <c r="C206" s="72"/>
      <c r="E206" s="72"/>
      <c r="G206" s="71"/>
    </row>
    <row r="207" spans="1:7" ht="12.75" x14ac:dyDescent="0.2">
      <c r="A207" s="71"/>
      <c r="B207" s="72"/>
      <c r="C207" s="72"/>
      <c r="E207" s="72"/>
      <c r="G207" s="71"/>
    </row>
    <row r="208" spans="1:7" ht="12.75" x14ac:dyDescent="0.2">
      <c r="A208" s="71"/>
      <c r="B208" s="72"/>
      <c r="C208" s="72"/>
      <c r="E208" s="72"/>
      <c r="G208" s="71"/>
    </row>
    <row r="209" spans="1:7" ht="12.75" x14ac:dyDescent="0.2">
      <c r="A209" s="71"/>
      <c r="B209" s="72"/>
      <c r="C209" s="72"/>
      <c r="E209" s="72"/>
      <c r="G209" s="71"/>
    </row>
    <row r="210" spans="1:7" ht="12.75" x14ac:dyDescent="0.2">
      <c r="A210" s="71"/>
      <c r="B210" s="72"/>
      <c r="C210" s="72"/>
      <c r="E210" s="72"/>
      <c r="G210" s="71"/>
    </row>
    <row r="211" spans="1:7" ht="12.75" x14ac:dyDescent="0.2">
      <c r="A211" s="71"/>
      <c r="B211" s="72"/>
      <c r="C211" s="72"/>
      <c r="E211" s="72"/>
      <c r="G211" s="71"/>
    </row>
    <row r="212" spans="1:7" ht="12.75" x14ac:dyDescent="0.2">
      <c r="A212" s="71"/>
      <c r="B212" s="72"/>
      <c r="C212" s="72"/>
      <c r="E212" s="72"/>
      <c r="G212" s="71"/>
    </row>
    <row r="213" spans="1:7" ht="12.75" x14ac:dyDescent="0.2">
      <c r="A213" s="71"/>
      <c r="B213" s="72"/>
      <c r="C213" s="72"/>
      <c r="E213" s="72"/>
      <c r="G213" s="71"/>
    </row>
    <row r="214" spans="1:7" ht="12.75" x14ac:dyDescent="0.2">
      <c r="A214" s="71"/>
      <c r="B214" s="72"/>
      <c r="C214" s="72"/>
      <c r="E214" s="72"/>
      <c r="G214" s="71"/>
    </row>
    <row r="215" spans="1:7" ht="12.75" x14ac:dyDescent="0.2">
      <c r="A215" s="71"/>
      <c r="B215" s="72"/>
      <c r="C215" s="72"/>
      <c r="E215" s="72"/>
      <c r="G215" s="71"/>
    </row>
    <row r="216" spans="1:7" ht="12.75" x14ac:dyDescent="0.2">
      <c r="A216" s="71"/>
      <c r="B216" s="72"/>
      <c r="C216" s="72"/>
      <c r="E216" s="72"/>
      <c r="G216" s="71"/>
    </row>
    <row r="217" spans="1:7" ht="12.75" x14ac:dyDescent="0.2">
      <c r="A217" s="71"/>
      <c r="B217" s="72"/>
      <c r="C217" s="72"/>
      <c r="E217" s="72"/>
      <c r="G217" s="71"/>
    </row>
    <row r="218" spans="1:7" ht="12.75" x14ac:dyDescent="0.2">
      <c r="A218" s="71"/>
      <c r="B218" s="72"/>
      <c r="C218" s="72"/>
      <c r="E218" s="72"/>
      <c r="G218" s="71"/>
    </row>
    <row r="219" spans="1:7" ht="12.75" x14ac:dyDescent="0.2">
      <c r="A219" s="71"/>
      <c r="B219" s="72"/>
      <c r="C219" s="72"/>
      <c r="E219" s="72"/>
      <c r="G219" s="71"/>
    </row>
    <row r="220" spans="1:7" ht="12.75" x14ac:dyDescent="0.2">
      <c r="A220" s="71"/>
      <c r="B220" s="72"/>
      <c r="C220" s="72"/>
      <c r="E220" s="72"/>
      <c r="G220" s="71"/>
    </row>
    <row r="221" spans="1:7" ht="12.75" x14ac:dyDescent="0.2">
      <c r="A221" s="71"/>
      <c r="B221" s="72"/>
      <c r="C221" s="72"/>
      <c r="E221" s="72"/>
      <c r="G221" s="71"/>
    </row>
    <row r="222" spans="1:7" ht="12.75" x14ac:dyDescent="0.2">
      <c r="A222" s="71"/>
      <c r="B222" s="72"/>
      <c r="C222" s="72"/>
      <c r="E222" s="72"/>
      <c r="G222" s="71"/>
    </row>
    <row r="223" spans="1:7" ht="12.75" x14ac:dyDescent="0.2">
      <c r="A223" s="71"/>
      <c r="B223" s="72"/>
      <c r="C223" s="72"/>
      <c r="E223" s="72"/>
      <c r="G223" s="71"/>
    </row>
    <row r="224" spans="1:7" ht="12.75" x14ac:dyDescent="0.2">
      <c r="A224" s="71"/>
      <c r="B224" s="72"/>
      <c r="C224" s="72"/>
      <c r="E224" s="72"/>
      <c r="G224" s="71"/>
    </row>
    <row r="225" spans="1:7" ht="12.75" x14ac:dyDescent="0.2">
      <c r="A225" s="71"/>
      <c r="B225" s="72"/>
      <c r="C225" s="72"/>
      <c r="E225" s="72"/>
      <c r="G225" s="71"/>
    </row>
    <row r="226" spans="1:7" ht="12.75" x14ac:dyDescent="0.2">
      <c r="A226" s="71"/>
      <c r="B226" s="72"/>
      <c r="C226" s="72"/>
      <c r="E226" s="72"/>
      <c r="G226" s="71"/>
    </row>
    <row r="227" spans="1:7" ht="12.75" x14ac:dyDescent="0.2">
      <c r="A227" s="71"/>
      <c r="B227" s="72"/>
      <c r="C227" s="72"/>
      <c r="E227" s="72"/>
      <c r="G227" s="71"/>
    </row>
    <row r="228" spans="1:7" ht="12.75" x14ac:dyDescent="0.2">
      <c r="A228" s="71"/>
      <c r="B228" s="72"/>
      <c r="C228" s="72"/>
      <c r="E228" s="72"/>
      <c r="G228" s="71"/>
    </row>
    <row r="229" spans="1:7" ht="12.75" x14ac:dyDescent="0.2">
      <c r="A229" s="71"/>
      <c r="B229" s="72"/>
      <c r="C229" s="72"/>
      <c r="E229" s="72"/>
      <c r="G229" s="71"/>
    </row>
    <row r="230" spans="1:7" ht="12.75" x14ac:dyDescent="0.2">
      <c r="A230" s="71"/>
      <c r="B230" s="72"/>
      <c r="C230" s="72"/>
      <c r="E230" s="72"/>
      <c r="G230" s="71"/>
    </row>
    <row r="231" spans="1:7" ht="12.75" x14ac:dyDescent="0.2">
      <c r="A231" s="71"/>
      <c r="B231" s="72"/>
      <c r="C231" s="72"/>
      <c r="E231" s="72"/>
      <c r="G231" s="71"/>
    </row>
    <row r="232" spans="1:7" ht="12.75" x14ac:dyDescent="0.2">
      <c r="A232" s="71"/>
      <c r="B232" s="72"/>
      <c r="C232" s="72"/>
      <c r="E232" s="72"/>
      <c r="G232" s="71"/>
    </row>
    <row r="233" spans="1:7" ht="12.75" x14ac:dyDescent="0.2">
      <c r="A233" s="71"/>
      <c r="B233" s="72"/>
      <c r="C233" s="72"/>
      <c r="E233" s="72"/>
      <c r="G233" s="71"/>
    </row>
    <row r="234" spans="1:7" ht="12.75" x14ac:dyDescent="0.2">
      <c r="A234" s="71"/>
      <c r="B234" s="72"/>
      <c r="C234" s="72"/>
      <c r="E234" s="72"/>
      <c r="G234" s="71"/>
    </row>
    <row r="235" spans="1:7" ht="12.75" x14ac:dyDescent="0.2">
      <c r="A235" s="71"/>
      <c r="B235" s="72"/>
      <c r="C235" s="72"/>
      <c r="E235" s="72"/>
      <c r="G235" s="71"/>
    </row>
    <row r="236" spans="1:7" ht="12.75" x14ac:dyDescent="0.2">
      <c r="A236" s="71"/>
      <c r="B236" s="72"/>
      <c r="C236" s="72"/>
      <c r="E236" s="72"/>
      <c r="G236" s="71"/>
    </row>
    <row r="237" spans="1:7" ht="12.75" x14ac:dyDescent="0.2">
      <c r="A237" s="71"/>
      <c r="B237" s="72"/>
      <c r="C237" s="72"/>
      <c r="E237" s="72"/>
      <c r="G237" s="71"/>
    </row>
    <row r="238" spans="1:7" ht="12.75" x14ac:dyDescent="0.2">
      <c r="A238" s="71"/>
      <c r="B238" s="72"/>
      <c r="C238" s="72"/>
      <c r="E238" s="72"/>
      <c r="G238" s="71"/>
    </row>
    <row r="239" spans="1:7" ht="12.75" x14ac:dyDescent="0.2">
      <c r="A239" s="71"/>
      <c r="B239" s="72"/>
      <c r="C239" s="72"/>
      <c r="E239" s="72"/>
      <c r="G239" s="71"/>
    </row>
    <row r="240" spans="1:7" ht="12.75" x14ac:dyDescent="0.2">
      <c r="A240" s="71"/>
      <c r="B240" s="72"/>
      <c r="C240" s="72"/>
      <c r="E240" s="72"/>
      <c r="G240" s="71"/>
    </row>
    <row r="241" spans="1:7" ht="12.75" x14ac:dyDescent="0.2">
      <c r="A241" s="71"/>
      <c r="B241" s="72"/>
      <c r="C241" s="72"/>
      <c r="E241" s="72"/>
      <c r="G241" s="71"/>
    </row>
    <row r="242" spans="1:7" ht="12.75" x14ac:dyDescent="0.2">
      <c r="A242" s="71"/>
      <c r="B242" s="72"/>
      <c r="C242" s="72"/>
      <c r="E242" s="72"/>
      <c r="G242" s="71"/>
    </row>
    <row r="243" spans="1:7" ht="12.75" x14ac:dyDescent="0.2">
      <c r="A243" s="71"/>
      <c r="B243" s="72"/>
      <c r="C243" s="72"/>
      <c r="E243" s="72"/>
      <c r="G243" s="71"/>
    </row>
    <row r="244" spans="1:7" ht="12.75" x14ac:dyDescent="0.2">
      <c r="A244" s="71"/>
      <c r="B244" s="72"/>
      <c r="C244" s="72"/>
      <c r="E244" s="72"/>
      <c r="G244" s="71"/>
    </row>
    <row r="245" spans="1:7" ht="12.75" x14ac:dyDescent="0.2">
      <c r="A245" s="71"/>
      <c r="B245" s="72"/>
      <c r="C245" s="72"/>
      <c r="E245" s="72"/>
      <c r="G245" s="71"/>
    </row>
    <row r="246" spans="1:7" ht="12.75" x14ac:dyDescent="0.2">
      <c r="A246" s="71"/>
      <c r="B246" s="72"/>
      <c r="C246" s="72"/>
      <c r="E246" s="72"/>
      <c r="G246" s="71"/>
    </row>
    <row r="247" spans="1:7" ht="12.75" x14ac:dyDescent="0.2">
      <c r="A247" s="71"/>
      <c r="B247" s="72"/>
      <c r="C247" s="72"/>
      <c r="E247" s="72"/>
      <c r="G247" s="71"/>
    </row>
    <row r="248" spans="1:7" ht="12.75" x14ac:dyDescent="0.2">
      <c r="A248" s="71"/>
      <c r="B248" s="72"/>
      <c r="C248" s="72"/>
      <c r="E248" s="72"/>
      <c r="G248" s="71"/>
    </row>
    <row r="249" spans="1:7" ht="12.75" x14ac:dyDescent="0.2">
      <c r="A249" s="71"/>
      <c r="B249" s="72"/>
      <c r="C249" s="72"/>
      <c r="E249" s="72"/>
      <c r="G249" s="71"/>
    </row>
    <row r="250" spans="1:7" ht="12.75" x14ac:dyDescent="0.2">
      <c r="A250" s="71"/>
      <c r="B250" s="72"/>
      <c r="C250" s="72"/>
      <c r="E250" s="72"/>
      <c r="G250" s="71"/>
    </row>
    <row r="251" spans="1:7" ht="12.75" x14ac:dyDescent="0.2">
      <c r="A251" s="71"/>
      <c r="B251" s="72"/>
      <c r="C251" s="72"/>
      <c r="E251" s="72"/>
      <c r="G251" s="71"/>
    </row>
    <row r="252" spans="1:7" ht="12.75" x14ac:dyDescent="0.2">
      <c r="A252" s="71"/>
      <c r="B252" s="72"/>
      <c r="C252" s="72"/>
      <c r="E252" s="72"/>
      <c r="G252" s="71"/>
    </row>
    <row r="253" spans="1:7" ht="12.75" x14ac:dyDescent="0.2">
      <c r="A253" s="71"/>
      <c r="B253" s="72"/>
      <c r="C253" s="72"/>
      <c r="E253" s="72"/>
      <c r="G253" s="71"/>
    </row>
    <row r="254" spans="1:7" ht="12.75" x14ac:dyDescent="0.2">
      <c r="A254" s="71"/>
      <c r="B254" s="72"/>
      <c r="C254" s="72"/>
      <c r="E254" s="72"/>
      <c r="G254" s="71"/>
    </row>
    <row r="255" spans="1:7" ht="12.75" x14ac:dyDescent="0.2">
      <c r="A255" s="71"/>
      <c r="B255" s="72"/>
      <c r="C255" s="72"/>
      <c r="E255" s="72"/>
      <c r="G255" s="71"/>
    </row>
    <row r="256" spans="1:7" ht="12.75" x14ac:dyDescent="0.2">
      <c r="A256" s="71"/>
      <c r="B256" s="72"/>
      <c r="C256" s="72"/>
      <c r="E256" s="72"/>
      <c r="G256" s="71"/>
    </row>
    <row r="257" spans="1:7" ht="12.75" x14ac:dyDescent="0.2">
      <c r="A257" s="71"/>
      <c r="B257" s="72"/>
      <c r="C257" s="72"/>
      <c r="E257" s="72"/>
      <c r="G257" s="71"/>
    </row>
    <row r="258" spans="1:7" ht="12.75" x14ac:dyDescent="0.2">
      <c r="A258" s="71"/>
      <c r="B258" s="72"/>
      <c r="C258" s="72"/>
      <c r="E258" s="72"/>
      <c r="G258" s="71"/>
    </row>
    <row r="259" spans="1:7" ht="12.75" x14ac:dyDescent="0.2">
      <c r="A259" s="71"/>
      <c r="B259" s="72"/>
      <c r="C259" s="72"/>
      <c r="E259" s="72"/>
      <c r="G259" s="71"/>
    </row>
    <row r="260" spans="1:7" ht="12.75" x14ac:dyDescent="0.2">
      <c r="A260" s="71"/>
      <c r="B260" s="72"/>
      <c r="C260" s="72"/>
      <c r="E260" s="72"/>
      <c r="G260" s="71"/>
    </row>
    <row r="261" spans="1:7" ht="12.75" x14ac:dyDescent="0.2">
      <c r="A261" s="71"/>
      <c r="B261" s="72"/>
      <c r="C261" s="72"/>
      <c r="E261" s="72"/>
      <c r="G261" s="71"/>
    </row>
    <row r="262" spans="1:7" ht="12.75" x14ac:dyDescent="0.2">
      <c r="A262" s="71"/>
      <c r="B262" s="72"/>
      <c r="C262" s="72"/>
      <c r="E262" s="72"/>
      <c r="G262" s="71"/>
    </row>
    <row r="263" spans="1:7" ht="12.75" x14ac:dyDescent="0.2">
      <c r="A263" s="71"/>
      <c r="B263" s="72"/>
      <c r="C263" s="72"/>
      <c r="E263" s="72"/>
      <c r="G263" s="71"/>
    </row>
    <row r="264" spans="1:7" ht="12.75" x14ac:dyDescent="0.2">
      <c r="A264" s="71"/>
      <c r="B264" s="72"/>
      <c r="C264" s="72"/>
      <c r="E264" s="72"/>
      <c r="G264" s="71"/>
    </row>
    <row r="265" spans="1:7" ht="12.75" x14ac:dyDescent="0.2">
      <c r="A265" s="71"/>
      <c r="B265" s="72"/>
      <c r="C265" s="72"/>
      <c r="E265" s="72"/>
      <c r="G265" s="71"/>
    </row>
    <row r="266" spans="1:7" ht="12.75" x14ac:dyDescent="0.2">
      <c r="A266" s="71"/>
      <c r="B266" s="72"/>
      <c r="C266" s="72"/>
      <c r="E266" s="72"/>
      <c r="G266" s="71"/>
    </row>
    <row r="267" spans="1:7" ht="12.75" x14ac:dyDescent="0.2">
      <c r="A267" s="71"/>
      <c r="B267" s="72"/>
      <c r="C267" s="72"/>
      <c r="E267" s="72"/>
      <c r="G267" s="71"/>
    </row>
    <row r="268" spans="1:7" ht="12.75" x14ac:dyDescent="0.2">
      <c r="A268" s="71"/>
      <c r="B268" s="72"/>
      <c r="C268" s="72"/>
      <c r="E268" s="72"/>
      <c r="G268" s="71"/>
    </row>
    <row r="269" spans="1:7" ht="12.75" x14ac:dyDescent="0.2">
      <c r="A269" s="71"/>
      <c r="B269" s="72"/>
      <c r="C269" s="72"/>
      <c r="E269" s="72"/>
      <c r="G269" s="71"/>
    </row>
    <row r="270" spans="1:7" ht="12.75" x14ac:dyDescent="0.2">
      <c r="A270" s="71"/>
      <c r="B270" s="72"/>
      <c r="C270" s="72"/>
      <c r="E270" s="72"/>
      <c r="G270" s="71"/>
    </row>
    <row r="271" spans="1:7" ht="12.75" x14ac:dyDescent="0.2">
      <c r="A271" s="71"/>
      <c r="B271" s="72"/>
      <c r="C271" s="72"/>
      <c r="E271" s="72"/>
      <c r="G271" s="71"/>
    </row>
    <row r="272" spans="1:7" ht="12.75" x14ac:dyDescent="0.2">
      <c r="A272" s="71"/>
      <c r="B272" s="72"/>
      <c r="C272" s="72"/>
      <c r="E272" s="72"/>
      <c r="G272" s="71"/>
    </row>
    <row r="273" spans="1:7" ht="12.75" x14ac:dyDescent="0.2">
      <c r="A273" s="71"/>
      <c r="B273" s="72"/>
      <c r="C273" s="72"/>
      <c r="E273" s="72"/>
      <c r="G273" s="71"/>
    </row>
    <row r="274" spans="1:7" ht="12.75" x14ac:dyDescent="0.2">
      <c r="A274" s="71"/>
      <c r="B274" s="72"/>
      <c r="C274" s="72"/>
      <c r="E274" s="72"/>
      <c r="G274" s="71"/>
    </row>
    <row r="275" spans="1:7" ht="12.75" x14ac:dyDescent="0.2">
      <c r="A275" s="71"/>
      <c r="B275" s="72"/>
      <c r="C275" s="72"/>
      <c r="E275" s="72"/>
      <c r="G275" s="71"/>
    </row>
    <row r="276" spans="1:7" ht="12.75" x14ac:dyDescent="0.2">
      <c r="A276" s="71"/>
      <c r="B276" s="72"/>
      <c r="C276" s="72"/>
      <c r="E276" s="72"/>
      <c r="G276" s="71"/>
    </row>
    <row r="277" spans="1:7" ht="12.75" x14ac:dyDescent="0.2">
      <c r="A277" s="71"/>
      <c r="B277" s="72"/>
      <c r="C277" s="72"/>
      <c r="E277" s="72"/>
      <c r="G277" s="71"/>
    </row>
    <row r="278" spans="1:7" ht="12.75" x14ac:dyDescent="0.2">
      <c r="A278" s="71"/>
      <c r="B278" s="72"/>
      <c r="C278" s="72"/>
      <c r="E278" s="72"/>
      <c r="G278" s="71"/>
    </row>
    <row r="279" spans="1:7" ht="12.75" x14ac:dyDescent="0.2">
      <c r="A279" s="71"/>
      <c r="B279" s="72"/>
      <c r="C279" s="72"/>
      <c r="E279" s="72"/>
      <c r="G279" s="71"/>
    </row>
    <row r="280" spans="1:7" ht="12.75" x14ac:dyDescent="0.2">
      <c r="A280" s="71"/>
      <c r="B280" s="72"/>
      <c r="C280" s="72"/>
      <c r="E280" s="72"/>
      <c r="G280" s="71"/>
    </row>
    <row r="281" spans="1:7" ht="12.75" x14ac:dyDescent="0.2">
      <c r="A281" s="71"/>
      <c r="B281" s="72"/>
      <c r="C281" s="72"/>
      <c r="E281" s="72"/>
      <c r="G281" s="71"/>
    </row>
    <row r="282" spans="1:7" ht="12.75" x14ac:dyDescent="0.2">
      <c r="A282" s="71"/>
      <c r="B282" s="72"/>
      <c r="C282" s="72"/>
      <c r="E282" s="72"/>
      <c r="G282" s="71"/>
    </row>
    <row r="283" spans="1:7" ht="12.75" x14ac:dyDescent="0.2">
      <c r="A283" s="71"/>
      <c r="B283" s="72"/>
      <c r="C283" s="72"/>
      <c r="E283" s="72"/>
      <c r="G283" s="71"/>
    </row>
    <row r="284" spans="1:7" ht="12.75" x14ac:dyDescent="0.2">
      <c r="A284" s="71"/>
      <c r="B284" s="72"/>
      <c r="C284" s="72"/>
      <c r="E284" s="72"/>
      <c r="G284" s="71"/>
    </row>
    <row r="285" spans="1:7" ht="12.75" x14ac:dyDescent="0.2">
      <c r="A285" s="71"/>
      <c r="B285" s="72"/>
      <c r="C285" s="72"/>
      <c r="E285" s="72"/>
      <c r="G285" s="71"/>
    </row>
    <row r="286" spans="1:7" ht="12.75" x14ac:dyDescent="0.2">
      <c r="A286" s="71"/>
      <c r="B286" s="72"/>
      <c r="C286" s="72"/>
      <c r="E286" s="72"/>
      <c r="G286" s="71"/>
    </row>
    <row r="287" spans="1:7" ht="12.75" x14ac:dyDescent="0.2">
      <c r="A287" s="71"/>
      <c r="B287" s="72"/>
      <c r="C287" s="72"/>
      <c r="E287" s="72"/>
      <c r="G287" s="71"/>
    </row>
    <row r="288" spans="1:7" ht="12.75" x14ac:dyDescent="0.2">
      <c r="A288" s="71"/>
      <c r="B288" s="72"/>
      <c r="C288" s="72"/>
      <c r="E288" s="72"/>
      <c r="G288" s="71"/>
    </row>
    <row r="289" spans="1:7" ht="12.75" x14ac:dyDescent="0.2">
      <c r="A289" s="71"/>
      <c r="B289" s="72"/>
      <c r="C289" s="72"/>
      <c r="E289" s="72"/>
      <c r="G289" s="71"/>
    </row>
    <row r="290" spans="1:7" ht="12.75" x14ac:dyDescent="0.2">
      <c r="A290" s="71"/>
      <c r="B290" s="72"/>
      <c r="C290" s="72"/>
      <c r="E290" s="72"/>
      <c r="G290" s="71"/>
    </row>
    <row r="291" spans="1:7" ht="12.75" x14ac:dyDescent="0.2">
      <c r="A291" s="71"/>
      <c r="B291" s="72"/>
      <c r="C291" s="72"/>
      <c r="E291" s="72"/>
      <c r="G291" s="71"/>
    </row>
    <row r="292" spans="1:7" ht="12.75" x14ac:dyDescent="0.2">
      <c r="A292" s="71"/>
      <c r="B292" s="72"/>
      <c r="C292" s="72"/>
      <c r="E292" s="72"/>
      <c r="G292" s="71"/>
    </row>
    <row r="293" spans="1:7" ht="12.75" x14ac:dyDescent="0.2">
      <c r="A293" s="71"/>
      <c r="B293" s="72"/>
      <c r="C293" s="72"/>
      <c r="E293" s="72"/>
      <c r="G293" s="71"/>
    </row>
    <row r="294" spans="1:7" ht="12.75" x14ac:dyDescent="0.2">
      <c r="A294" s="71"/>
      <c r="B294" s="72"/>
      <c r="C294" s="72"/>
      <c r="E294" s="72"/>
      <c r="G294" s="71"/>
    </row>
    <row r="295" spans="1:7" ht="12.75" x14ac:dyDescent="0.2">
      <c r="A295" s="71"/>
      <c r="B295" s="72"/>
      <c r="C295" s="72"/>
      <c r="E295" s="72"/>
      <c r="G295" s="71"/>
    </row>
    <row r="296" spans="1:7" ht="12.75" x14ac:dyDescent="0.2">
      <c r="A296" s="71"/>
      <c r="B296" s="72"/>
      <c r="C296" s="72"/>
      <c r="E296" s="72"/>
      <c r="G296" s="71"/>
    </row>
    <row r="297" spans="1:7" ht="12.75" x14ac:dyDescent="0.2">
      <c r="A297" s="71"/>
      <c r="B297" s="72"/>
      <c r="C297" s="72"/>
      <c r="E297" s="72"/>
      <c r="G297" s="71"/>
    </row>
    <row r="298" spans="1:7" ht="12.75" x14ac:dyDescent="0.2">
      <c r="A298" s="71"/>
      <c r="B298" s="72"/>
      <c r="C298" s="72"/>
      <c r="E298" s="72"/>
      <c r="G298" s="71"/>
    </row>
    <row r="299" spans="1:7" ht="12.75" x14ac:dyDescent="0.2">
      <c r="A299" s="71"/>
      <c r="B299" s="72"/>
      <c r="C299" s="72"/>
      <c r="E299" s="72"/>
      <c r="G299" s="71"/>
    </row>
    <row r="300" spans="1:7" ht="12.75" x14ac:dyDescent="0.2">
      <c r="A300" s="71"/>
      <c r="B300" s="72"/>
      <c r="C300" s="72"/>
      <c r="E300" s="72"/>
      <c r="G300" s="71"/>
    </row>
    <row r="301" spans="1:7" ht="12.75" x14ac:dyDescent="0.2">
      <c r="A301" s="71"/>
      <c r="B301" s="72"/>
      <c r="C301" s="72"/>
      <c r="E301" s="72"/>
      <c r="G301" s="71"/>
    </row>
    <row r="302" spans="1:7" ht="12.75" x14ac:dyDescent="0.2">
      <c r="A302" s="71"/>
      <c r="B302" s="72"/>
      <c r="C302" s="72"/>
      <c r="E302" s="72"/>
      <c r="G302" s="71"/>
    </row>
    <row r="303" spans="1:7" ht="12.75" x14ac:dyDescent="0.2">
      <c r="A303" s="71"/>
      <c r="B303" s="72"/>
      <c r="C303" s="72"/>
      <c r="E303" s="72"/>
      <c r="G303" s="71"/>
    </row>
    <row r="304" spans="1:7" ht="12.75" x14ac:dyDescent="0.2">
      <c r="A304" s="71"/>
      <c r="B304" s="72"/>
      <c r="C304" s="72"/>
      <c r="E304" s="72"/>
      <c r="G304" s="71"/>
    </row>
    <row r="305" spans="1:7" ht="12.75" x14ac:dyDescent="0.2">
      <c r="A305" s="71"/>
      <c r="B305" s="72"/>
      <c r="C305" s="72"/>
      <c r="E305" s="72"/>
      <c r="G305" s="71"/>
    </row>
    <row r="306" spans="1:7" ht="12.75" x14ac:dyDescent="0.2">
      <c r="A306" s="71"/>
      <c r="B306" s="72"/>
      <c r="C306" s="72"/>
      <c r="E306" s="72"/>
      <c r="G306" s="71"/>
    </row>
    <row r="307" spans="1:7" ht="12.75" x14ac:dyDescent="0.2">
      <c r="A307" s="71"/>
      <c r="B307" s="72"/>
      <c r="C307" s="72"/>
      <c r="E307" s="72"/>
      <c r="G307" s="71"/>
    </row>
    <row r="308" spans="1:7" ht="12.75" x14ac:dyDescent="0.2">
      <c r="A308" s="71"/>
      <c r="B308" s="72"/>
      <c r="C308" s="72"/>
      <c r="E308" s="72"/>
      <c r="G308" s="71"/>
    </row>
    <row r="309" spans="1:7" ht="12.75" x14ac:dyDescent="0.2">
      <c r="A309" s="71"/>
      <c r="B309" s="72"/>
      <c r="C309" s="72"/>
      <c r="E309" s="72"/>
      <c r="G309" s="71"/>
    </row>
    <row r="310" spans="1:7" ht="12.75" x14ac:dyDescent="0.2">
      <c r="A310" s="71"/>
      <c r="B310" s="72"/>
      <c r="C310" s="72"/>
      <c r="E310" s="72"/>
      <c r="G310" s="71"/>
    </row>
    <row r="311" spans="1:7" ht="12.75" x14ac:dyDescent="0.2">
      <c r="A311" s="71"/>
      <c r="B311" s="72"/>
      <c r="C311" s="72"/>
      <c r="E311" s="72"/>
      <c r="G311" s="71"/>
    </row>
    <row r="312" spans="1:7" ht="12.75" x14ac:dyDescent="0.2">
      <c r="A312" s="71"/>
      <c r="B312" s="72"/>
      <c r="C312" s="72"/>
      <c r="E312" s="72"/>
      <c r="G312" s="71"/>
    </row>
    <row r="313" spans="1:7" ht="12.75" x14ac:dyDescent="0.2">
      <c r="A313" s="71"/>
      <c r="B313" s="72"/>
      <c r="C313" s="72"/>
      <c r="E313" s="72"/>
      <c r="G313" s="71"/>
    </row>
    <row r="314" spans="1:7" ht="12.75" x14ac:dyDescent="0.2">
      <c r="A314" s="71"/>
      <c r="B314" s="72"/>
      <c r="C314" s="72"/>
      <c r="E314" s="72"/>
      <c r="G314" s="71"/>
    </row>
    <row r="315" spans="1:7" ht="12.75" x14ac:dyDescent="0.2">
      <c r="A315" s="71"/>
      <c r="B315" s="72"/>
      <c r="C315" s="72"/>
      <c r="E315" s="72"/>
      <c r="G315" s="71"/>
    </row>
    <row r="316" spans="1:7" ht="12.75" x14ac:dyDescent="0.2">
      <c r="A316" s="71"/>
      <c r="B316" s="72"/>
      <c r="C316" s="72"/>
      <c r="E316" s="72"/>
      <c r="G316" s="71"/>
    </row>
    <row r="317" spans="1:7" ht="12.75" x14ac:dyDescent="0.2">
      <c r="A317" s="71"/>
      <c r="B317" s="72"/>
      <c r="C317" s="72"/>
      <c r="E317" s="72"/>
      <c r="G317" s="71"/>
    </row>
    <row r="318" spans="1:7" ht="12.75" x14ac:dyDescent="0.2">
      <c r="A318" s="71"/>
      <c r="B318" s="72"/>
      <c r="C318" s="72"/>
      <c r="E318" s="72"/>
      <c r="G318" s="71"/>
    </row>
    <row r="319" spans="1:7" ht="12.75" x14ac:dyDescent="0.2">
      <c r="A319" s="71"/>
      <c r="B319" s="72"/>
      <c r="C319" s="72"/>
      <c r="E319" s="72"/>
      <c r="G319" s="71"/>
    </row>
    <row r="320" spans="1:7" ht="12.75" x14ac:dyDescent="0.2">
      <c r="A320" s="71"/>
      <c r="B320" s="72"/>
      <c r="C320" s="72"/>
      <c r="E320" s="72"/>
      <c r="G320" s="71"/>
    </row>
    <row r="321" spans="1:7" ht="12.75" x14ac:dyDescent="0.2">
      <c r="A321" s="71"/>
      <c r="B321" s="72"/>
      <c r="C321" s="72"/>
      <c r="E321" s="72"/>
      <c r="G321" s="71"/>
    </row>
    <row r="322" spans="1:7" ht="12.75" x14ac:dyDescent="0.2">
      <c r="A322" s="71"/>
      <c r="B322" s="72"/>
      <c r="C322" s="72"/>
      <c r="E322" s="72"/>
      <c r="G322" s="71"/>
    </row>
    <row r="323" spans="1:7" ht="12.75" x14ac:dyDescent="0.2">
      <c r="A323" s="71"/>
      <c r="B323" s="72"/>
      <c r="C323" s="72"/>
      <c r="E323" s="72"/>
      <c r="G323" s="71"/>
    </row>
    <row r="324" spans="1:7" ht="12.75" x14ac:dyDescent="0.2">
      <c r="A324" s="71"/>
      <c r="B324" s="72"/>
      <c r="C324" s="72"/>
      <c r="E324" s="72"/>
      <c r="G324" s="71"/>
    </row>
    <row r="325" spans="1:7" ht="12.75" x14ac:dyDescent="0.2">
      <c r="A325" s="71"/>
      <c r="B325" s="72"/>
      <c r="C325" s="72"/>
      <c r="E325" s="72"/>
      <c r="G325" s="71"/>
    </row>
    <row r="326" spans="1:7" ht="12.75" x14ac:dyDescent="0.2">
      <c r="A326" s="71"/>
      <c r="B326" s="72"/>
      <c r="C326" s="72"/>
      <c r="E326" s="72"/>
      <c r="G326" s="71"/>
    </row>
    <row r="327" spans="1:7" ht="12.75" x14ac:dyDescent="0.2">
      <c r="A327" s="71"/>
      <c r="B327" s="72"/>
      <c r="C327" s="72"/>
      <c r="E327" s="72"/>
      <c r="G327" s="71"/>
    </row>
    <row r="328" spans="1:7" ht="12.75" x14ac:dyDescent="0.2">
      <c r="A328" s="71"/>
      <c r="B328" s="72"/>
      <c r="C328" s="72"/>
      <c r="E328" s="72"/>
      <c r="G328" s="71"/>
    </row>
    <row r="329" spans="1:7" ht="12.75" x14ac:dyDescent="0.2">
      <c r="A329" s="71"/>
      <c r="B329" s="72"/>
      <c r="C329" s="72"/>
      <c r="E329" s="72"/>
      <c r="G329" s="71"/>
    </row>
    <row r="330" spans="1:7" ht="12.75" x14ac:dyDescent="0.2">
      <c r="A330" s="71"/>
      <c r="B330" s="72"/>
      <c r="C330" s="72"/>
      <c r="E330" s="72"/>
      <c r="G330" s="71"/>
    </row>
    <row r="331" spans="1:7" ht="12.75" x14ac:dyDescent="0.2">
      <c r="A331" s="71"/>
      <c r="B331" s="72"/>
      <c r="C331" s="72"/>
      <c r="E331" s="72"/>
      <c r="G331" s="71"/>
    </row>
    <row r="332" spans="1:7" ht="12.75" x14ac:dyDescent="0.2">
      <c r="A332" s="71"/>
      <c r="B332" s="72"/>
      <c r="C332" s="72"/>
      <c r="E332" s="72"/>
      <c r="G332" s="71"/>
    </row>
    <row r="333" spans="1:7" ht="12.75" x14ac:dyDescent="0.2">
      <c r="A333" s="71"/>
      <c r="B333" s="72"/>
      <c r="C333" s="72"/>
      <c r="E333" s="72"/>
      <c r="G333" s="71"/>
    </row>
    <row r="334" spans="1:7" ht="12.75" x14ac:dyDescent="0.2">
      <c r="A334" s="71"/>
      <c r="B334" s="72"/>
      <c r="C334" s="72"/>
      <c r="E334" s="72"/>
      <c r="G334" s="71"/>
    </row>
    <row r="335" spans="1:7" ht="12.75" x14ac:dyDescent="0.2">
      <c r="A335" s="71"/>
      <c r="B335" s="72"/>
      <c r="C335" s="72"/>
      <c r="E335" s="72"/>
      <c r="G335" s="71"/>
    </row>
    <row r="336" spans="1:7" ht="12.75" x14ac:dyDescent="0.2">
      <c r="A336" s="71"/>
      <c r="B336" s="72"/>
      <c r="C336" s="72"/>
      <c r="E336" s="72"/>
      <c r="G336" s="71"/>
    </row>
    <row r="337" spans="1:7" ht="12.75" x14ac:dyDescent="0.2">
      <c r="A337" s="71"/>
      <c r="B337" s="72"/>
      <c r="C337" s="72"/>
      <c r="E337" s="72"/>
      <c r="G337" s="71"/>
    </row>
    <row r="338" spans="1:7" ht="12.75" x14ac:dyDescent="0.2">
      <c r="A338" s="71"/>
      <c r="B338" s="72"/>
      <c r="C338" s="72"/>
      <c r="E338" s="72"/>
      <c r="G338" s="71"/>
    </row>
    <row r="339" spans="1:7" ht="12.75" x14ac:dyDescent="0.2">
      <c r="A339" s="71"/>
      <c r="B339" s="72"/>
      <c r="C339" s="72"/>
      <c r="E339" s="72"/>
      <c r="G339" s="71"/>
    </row>
    <row r="340" spans="1:7" ht="12.75" x14ac:dyDescent="0.2">
      <c r="A340" s="71"/>
      <c r="B340" s="72"/>
      <c r="C340" s="72"/>
      <c r="E340" s="72"/>
      <c r="G340" s="71"/>
    </row>
    <row r="341" spans="1:7" ht="12.75" x14ac:dyDescent="0.2">
      <c r="A341" s="71"/>
      <c r="B341" s="72"/>
      <c r="C341" s="72"/>
      <c r="E341" s="72"/>
      <c r="G341" s="71"/>
    </row>
    <row r="342" spans="1:7" ht="12.75" x14ac:dyDescent="0.2">
      <c r="A342" s="71"/>
      <c r="B342" s="72"/>
      <c r="C342" s="72"/>
      <c r="E342" s="72"/>
      <c r="G342" s="71"/>
    </row>
    <row r="343" spans="1:7" ht="12.75" x14ac:dyDescent="0.2">
      <c r="A343" s="71"/>
      <c r="B343" s="72"/>
      <c r="C343" s="72"/>
      <c r="E343" s="72"/>
      <c r="G343" s="71"/>
    </row>
    <row r="344" spans="1:7" ht="12.75" x14ac:dyDescent="0.2">
      <c r="A344" s="71"/>
      <c r="B344" s="72"/>
      <c r="C344" s="72"/>
      <c r="E344" s="72"/>
      <c r="G344" s="71"/>
    </row>
    <row r="345" spans="1:7" ht="12.75" x14ac:dyDescent="0.2">
      <c r="A345" s="71"/>
      <c r="B345" s="72"/>
      <c r="C345" s="72"/>
      <c r="E345" s="72"/>
      <c r="G345" s="71"/>
    </row>
    <row r="346" spans="1:7" ht="12.75" x14ac:dyDescent="0.2">
      <c r="A346" s="71"/>
      <c r="B346" s="72"/>
      <c r="C346" s="72"/>
      <c r="E346" s="72"/>
      <c r="G346" s="71"/>
    </row>
    <row r="347" spans="1:7" ht="12.75" x14ac:dyDescent="0.2">
      <c r="A347" s="71"/>
      <c r="B347" s="72"/>
      <c r="C347" s="72"/>
      <c r="E347" s="72"/>
      <c r="G347" s="71"/>
    </row>
    <row r="348" spans="1:7" ht="12.75" x14ac:dyDescent="0.2">
      <c r="A348" s="71"/>
      <c r="B348" s="72"/>
      <c r="C348" s="72"/>
      <c r="E348" s="72"/>
      <c r="G348" s="71"/>
    </row>
    <row r="349" spans="1:7" ht="12.75" x14ac:dyDescent="0.2">
      <c r="A349" s="71"/>
      <c r="B349" s="72"/>
      <c r="C349" s="72"/>
      <c r="E349" s="72"/>
      <c r="G349" s="71"/>
    </row>
    <row r="350" spans="1:7" ht="12.75" x14ac:dyDescent="0.2">
      <c r="A350" s="71"/>
      <c r="B350" s="72"/>
      <c r="C350" s="72"/>
      <c r="E350" s="72"/>
      <c r="G350" s="71"/>
    </row>
    <row r="351" spans="1:7" ht="12.75" x14ac:dyDescent="0.2">
      <c r="A351" s="71"/>
      <c r="B351" s="72"/>
      <c r="C351" s="72"/>
      <c r="E351" s="72"/>
      <c r="G351" s="71"/>
    </row>
    <row r="352" spans="1:7" ht="12.75" x14ac:dyDescent="0.2">
      <c r="A352" s="71"/>
      <c r="B352" s="72"/>
      <c r="C352" s="72"/>
      <c r="E352" s="72"/>
      <c r="G352" s="71"/>
    </row>
    <row r="353" spans="1:7" ht="12.75" x14ac:dyDescent="0.2">
      <c r="A353" s="71"/>
      <c r="B353" s="72"/>
      <c r="C353" s="72"/>
      <c r="E353" s="72"/>
      <c r="G353" s="71"/>
    </row>
    <row r="354" spans="1:7" ht="12.75" x14ac:dyDescent="0.2">
      <c r="A354" s="71"/>
      <c r="B354" s="72"/>
      <c r="C354" s="72"/>
      <c r="E354" s="72"/>
      <c r="G354" s="71"/>
    </row>
    <row r="355" spans="1:7" ht="12.75" x14ac:dyDescent="0.2">
      <c r="A355" s="71"/>
      <c r="B355" s="72"/>
      <c r="C355" s="72"/>
      <c r="E355" s="72"/>
      <c r="G355" s="71"/>
    </row>
    <row r="356" spans="1:7" ht="12.75" x14ac:dyDescent="0.2">
      <c r="A356" s="71"/>
      <c r="B356" s="72"/>
      <c r="C356" s="72"/>
      <c r="E356" s="72"/>
      <c r="G356" s="71"/>
    </row>
    <row r="357" spans="1:7" ht="12.75" x14ac:dyDescent="0.2">
      <c r="A357" s="71"/>
      <c r="B357" s="72"/>
      <c r="C357" s="72"/>
      <c r="E357" s="72"/>
      <c r="G357" s="71"/>
    </row>
    <row r="358" spans="1:7" ht="12.75" x14ac:dyDescent="0.2">
      <c r="A358" s="71"/>
      <c r="B358" s="72"/>
      <c r="C358" s="72"/>
      <c r="E358" s="72"/>
      <c r="G358" s="71"/>
    </row>
    <row r="359" spans="1:7" ht="12.75" x14ac:dyDescent="0.2">
      <c r="A359" s="71"/>
      <c r="B359" s="72"/>
      <c r="C359" s="72"/>
      <c r="E359" s="72"/>
      <c r="G359" s="71"/>
    </row>
    <row r="360" spans="1:7" ht="12.75" x14ac:dyDescent="0.2">
      <c r="A360" s="71"/>
      <c r="B360" s="72"/>
      <c r="C360" s="72"/>
      <c r="E360" s="72"/>
      <c r="G360" s="71"/>
    </row>
    <row r="361" spans="1:7" ht="12.75" x14ac:dyDescent="0.2">
      <c r="A361" s="71"/>
      <c r="B361" s="72"/>
      <c r="C361" s="72"/>
      <c r="E361" s="72"/>
      <c r="G361" s="71"/>
    </row>
    <row r="362" spans="1:7" ht="12.75" x14ac:dyDescent="0.2">
      <c r="A362" s="71"/>
      <c r="B362" s="72"/>
      <c r="C362" s="72"/>
      <c r="E362" s="72"/>
      <c r="G362" s="71"/>
    </row>
    <row r="363" spans="1:7" ht="12.75" x14ac:dyDescent="0.2">
      <c r="A363" s="71"/>
      <c r="B363" s="72"/>
      <c r="C363" s="72"/>
      <c r="E363" s="72"/>
      <c r="G363" s="71"/>
    </row>
    <row r="364" spans="1:7" ht="12.75" x14ac:dyDescent="0.2">
      <c r="A364" s="71"/>
      <c r="B364" s="72"/>
      <c r="C364" s="72"/>
      <c r="E364" s="72"/>
      <c r="G364" s="71"/>
    </row>
    <row r="365" spans="1:7" ht="12.75" x14ac:dyDescent="0.2">
      <c r="A365" s="71"/>
      <c r="B365" s="72"/>
      <c r="C365" s="72"/>
      <c r="E365" s="72"/>
      <c r="G365" s="71"/>
    </row>
    <row r="366" spans="1:7" ht="12.75" x14ac:dyDescent="0.2">
      <c r="A366" s="71"/>
      <c r="B366" s="72"/>
      <c r="C366" s="72"/>
      <c r="E366" s="72"/>
      <c r="G366" s="71"/>
    </row>
    <row r="367" spans="1:7" ht="12.75" x14ac:dyDescent="0.2">
      <c r="A367" s="71"/>
      <c r="B367" s="72"/>
      <c r="C367" s="72"/>
      <c r="E367" s="72"/>
      <c r="G367" s="71"/>
    </row>
    <row r="368" spans="1:7" ht="12.75" x14ac:dyDescent="0.2">
      <c r="A368" s="71"/>
      <c r="B368" s="72"/>
      <c r="C368" s="72"/>
      <c r="E368" s="72"/>
      <c r="G368" s="71"/>
    </row>
    <row r="369" spans="1:7" ht="12.75" x14ac:dyDescent="0.2">
      <c r="A369" s="71"/>
      <c r="B369" s="72"/>
      <c r="C369" s="72"/>
      <c r="E369" s="72"/>
      <c r="G369" s="71"/>
    </row>
    <row r="370" spans="1:7" ht="12.75" x14ac:dyDescent="0.2">
      <c r="A370" s="71"/>
      <c r="B370" s="72"/>
      <c r="C370" s="72"/>
      <c r="E370" s="72"/>
      <c r="G370" s="71"/>
    </row>
    <row r="371" spans="1:7" ht="12.75" x14ac:dyDescent="0.2">
      <c r="A371" s="71"/>
      <c r="B371" s="72"/>
      <c r="C371" s="72"/>
      <c r="E371" s="72"/>
      <c r="G371" s="71"/>
    </row>
    <row r="372" spans="1:7" ht="12.75" x14ac:dyDescent="0.2">
      <c r="A372" s="71"/>
      <c r="B372" s="72"/>
      <c r="C372" s="72"/>
      <c r="E372" s="72"/>
      <c r="G372" s="71"/>
    </row>
    <row r="373" spans="1:7" ht="12.75" x14ac:dyDescent="0.2">
      <c r="A373" s="71"/>
      <c r="B373" s="72"/>
      <c r="C373" s="72"/>
      <c r="E373" s="72"/>
      <c r="G373" s="71"/>
    </row>
    <row r="374" spans="1:7" ht="12.75" x14ac:dyDescent="0.2">
      <c r="A374" s="71"/>
      <c r="B374" s="72"/>
      <c r="C374" s="72"/>
      <c r="E374" s="72"/>
      <c r="G374" s="71"/>
    </row>
    <row r="375" spans="1:7" ht="12.75" x14ac:dyDescent="0.2">
      <c r="A375" s="71"/>
      <c r="B375" s="72"/>
      <c r="C375" s="72"/>
      <c r="E375" s="72"/>
      <c r="G375" s="71"/>
    </row>
    <row r="376" spans="1:7" ht="12.75" x14ac:dyDescent="0.2">
      <c r="A376" s="71"/>
      <c r="B376" s="72"/>
      <c r="C376" s="72"/>
      <c r="E376" s="72"/>
      <c r="G376" s="71"/>
    </row>
    <row r="377" spans="1:7" ht="12.75" x14ac:dyDescent="0.2">
      <c r="A377" s="71"/>
      <c r="B377" s="72"/>
      <c r="C377" s="72"/>
      <c r="E377" s="72"/>
      <c r="G377" s="71"/>
    </row>
    <row r="378" spans="1:7" ht="12.75" x14ac:dyDescent="0.2">
      <c r="A378" s="71"/>
      <c r="B378" s="72"/>
      <c r="C378" s="72"/>
      <c r="E378" s="72"/>
      <c r="G378" s="71"/>
    </row>
    <row r="379" spans="1:7" ht="12.75" x14ac:dyDescent="0.2">
      <c r="A379" s="71"/>
      <c r="B379" s="72"/>
      <c r="C379" s="72"/>
      <c r="E379" s="72"/>
      <c r="G379" s="71"/>
    </row>
    <row r="380" spans="1:7" ht="12.75" x14ac:dyDescent="0.2">
      <c r="A380" s="71"/>
      <c r="B380" s="72"/>
      <c r="C380" s="72"/>
      <c r="E380" s="72"/>
      <c r="G380" s="71"/>
    </row>
    <row r="381" spans="1:7" ht="12.75" x14ac:dyDescent="0.2">
      <c r="A381" s="71"/>
      <c r="B381" s="72"/>
      <c r="C381" s="72"/>
      <c r="E381" s="72"/>
      <c r="G381" s="71"/>
    </row>
    <row r="382" spans="1:7" ht="12.75" x14ac:dyDescent="0.2">
      <c r="A382" s="71"/>
      <c r="B382" s="72"/>
      <c r="C382" s="72"/>
      <c r="E382" s="72"/>
      <c r="G382" s="71"/>
    </row>
    <row r="383" spans="1:7" ht="12.75" x14ac:dyDescent="0.2">
      <c r="A383" s="71"/>
      <c r="B383" s="72"/>
      <c r="C383" s="72"/>
      <c r="E383" s="72"/>
      <c r="G383" s="71"/>
    </row>
    <row r="384" spans="1:7" ht="12.75" x14ac:dyDescent="0.2">
      <c r="A384" s="71"/>
      <c r="B384" s="72"/>
      <c r="C384" s="72"/>
      <c r="E384" s="72"/>
      <c r="G384" s="71"/>
    </row>
    <row r="385" spans="1:7" ht="12.75" x14ac:dyDescent="0.2">
      <c r="A385" s="71"/>
      <c r="B385" s="72"/>
      <c r="C385" s="72"/>
      <c r="E385" s="72"/>
      <c r="G385" s="71"/>
    </row>
    <row r="386" spans="1:7" ht="12.75" x14ac:dyDescent="0.2">
      <c r="A386" s="71"/>
      <c r="B386" s="72"/>
      <c r="C386" s="72"/>
      <c r="E386" s="72"/>
      <c r="G386" s="71"/>
    </row>
    <row r="387" spans="1:7" ht="12.75" x14ac:dyDescent="0.2">
      <c r="A387" s="71"/>
      <c r="B387" s="72"/>
      <c r="C387" s="72"/>
      <c r="E387" s="72"/>
      <c r="G387" s="71"/>
    </row>
    <row r="388" spans="1:7" ht="12.75" x14ac:dyDescent="0.2">
      <c r="A388" s="71"/>
      <c r="B388" s="72"/>
      <c r="C388" s="72"/>
      <c r="E388" s="72"/>
      <c r="G388" s="71"/>
    </row>
    <row r="389" spans="1:7" ht="12.75" x14ac:dyDescent="0.2">
      <c r="A389" s="71"/>
      <c r="B389" s="72"/>
      <c r="C389" s="72"/>
      <c r="E389" s="72"/>
      <c r="G389" s="71"/>
    </row>
    <row r="390" spans="1:7" ht="12.75" x14ac:dyDescent="0.2">
      <c r="A390" s="71"/>
      <c r="B390" s="72"/>
      <c r="C390" s="72"/>
      <c r="E390" s="72"/>
      <c r="G390" s="71"/>
    </row>
    <row r="391" spans="1:7" ht="12.75" x14ac:dyDescent="0.2">
      <c r="A391" s="71"/>
      <c r="B391" s="72"/>
      <c r="C391" s="72"/>
      <c r="E391" s="72"/>
      <c r="G391" s="71"/>
    </row>
    <row r="392" spans="1:7" ht="12.75" x14ac:dyDescent="0.2">
      <c r="A392" s="71"/>
      <c r="B392" s="72"/>
      <c r="C392" s="72"/>
      <c r="E392" s="72"/>
      <c r="G392" s="71"/>
    </row>
    <row r="393" spans="1:7" ht="12.75" x14ac:dyDescent="0.2">
      <c r="A393" s="71"/>
      <c r="B393" s="72"/>
      <c r="C393" s="72"/>
      <c r="E393" s="72"/>
      <c r="G393" s="71"/>
    </row>
    <row r="394" spans="1:7" ht="12.75" x14ac:dyDescent="0.2">
      <c r="A394" s="71"/>
      <c r="B394" s="72"/>
      <c r="C394" s="72"/>
      <c r="E394" s="72"/>
      <c r="G394" s="71"/>
    </row>
    <row r="395" spans="1:7" ht="12.75" x14ac:dyDescent="0.2">
      <c r="A395" s="71"/>
      <c r="B395" s="72"/>
      <c r="C395" s="72"/>
      <c r="E395" s="72"/>
      <c r="G395" s="71"/>
    </row>
    <row r="396" spans="1:7" ht="12.75" x14ac:dyDescent="0.2">
      <c r="A396" s="71"/>
      <c r="B396" s="72"/>
      <c r="C396" s="72"/>
      <c r="E396" s="72"/>
      <c r="G396" s="71"/>
    </row>
    <row r="397" spans="1:7" ht="12.75" x14ac:dyDescent="0.2">
      <c r="A397" s="71"/>
      <c r="B397" s="72"/>
      <c r="C397" s="72"/>
      <c r="E397" s="72"/>
      <c r="G397" s="71"/>
    </row>
    <row r="398" spans="1:7" ht="12.75" x14ac:dyDescent="0.2">
      <c r="A398" s="71"/>
      <c r="B398" s="72"/>
      <c r="C398" s="72"/>
      <c r="E398" s="72"/>
      <c r="G398" s="71"/>
    </row>
    <row r="399" spans="1:7" ht="12.75" x14ac:dyDescent="0.2">
      <c r="A399" s="71"/>
      <c r="B399" s="72"/>
      <c r="C399" s="72"/>
      <c r="E399" s="72"/>
      <c r="G399" s="71"/>
    </row>
    <row r="400" spans="1:7" ht="12.75" x14ac:dyDescent="0.2">
      <c r="A400" s="71"/>
      <c r="B400" s="72"/>
      <c r="C400" s="72"/>
      <c r="E400" s="72"/>
      <c r="G400" s="71"/>
    </row>
    <row r="401" spans="1:7" ht="12.75" x14ac:dyDescent="0.2">
      <c r="A401" s="71"/>
      <c r="B401" s="72"/>
      <c r="C401" s="72"/>
      <c r="E401" s="72"/>
      <c r="G401" s="71"/>
    </row>
    <row r="402" spans="1:7" ht="12.75" x14ac:dyDescent="0.2">
      <c r="A402" s="71"/>
      <c r="B402" s="72"/>
      <c r="C402" s="72"/>
      <c r="E402" s="72"/>
      <c r="G402" s="71"/>
    </row>
    <row r="403" spans="1:7" ht="12.75" x14ac:dyDescent="0.2">
      <c r="A403" s="71"/>
      <c r="B403" s="72"/>
      <c r="C403" s="72"/>
      <c r="E403" s="72"/>
      <c r="G403" s="71"/>
    </row>
    <row r="404" spans="1:7" ht="12.75" x14ac:dyDescent="0.2">
      <c r="A404" s="71"/>
      <c r="B404" s="72"/>
      <c r="C404" s="72"/>
      <c r="E404" s="72"/>
      <c r="G404" s="71"/>
    </row>
    <row r="405" spans="1:7" ht="12.75" x14ac:dyDescent="0.2">
      <c r="A405" s="71"/>
      <c r="B405" s="72"/>
      <c r="C405" s="72"/>
      <c r="E405" s="72"/>
      <c r="G405" s="71"/>
    </row>
    <row r="406" spans="1:7" ht="12.75" x14ac:dyDescent="0.2">
      <c r="A406" s="71"/>
      <c r="B406" s="72"/>
      <c r="C406" s="72"/>
      <c r="E406" s="72"/>
      <c r="G406" s="71"/>
    </row>
    <row r="407" spans="1:7" ht="12.75" x14ac:dyDescent="0.2">
      <c r="A407" s="71"/>
      <c r="B407" s="72"/>
      <c r="C407" s="72"/>
      <c r="E407" s="72"/>
      <c r="G407" s="71"/>
    </row>
    <row r="408" spans="1:7" ht="12.75" x14ac:dyDescent="0.2">
      <c r="A408" s="71"/>
      <c r="B408" s="72"/>
      <c r="C408" s="72"/>
      <c r="E408" s="72"/>
      <c r="G408" s="71"/>
    </row>
    <row r="409" spans="1:7" ht="12.75" x14ac:dyDescent="0.2">
      <c r="A409" s="71"/>
      <c r="B409" s="72"/>
      <c r="C409" s="72"/>
      <c r="E409" s="72"/>
      <c r="G409" s="71"/>
    </row>
    <row r="410" spans="1:7" ht="12.75" x14ac:dyDescent="0.2">
      <c r="A410" s="71"/>
      <c r="B410" s="72"/>
      <c r="C410" s="72"/>
      <c r="E410" s="72"/>
      <c r="G410" s="71"/>
    </row>
    <row r="411" spans="1:7" ht="12.75" x14ac:dyDescent="0.2">
      <c r="A411" s="71"/>
      <c r="B411" s="72"/>
      <c r="C411" s="72"/>
      <c r="E411" s="72"/>
      <c r="G411" s="71"/>
    </row>
    <row r="412" spans="1:7" ht="12.75" x14ac:dyDescent="0.2">
      <c r="A412" s="71"/>
      <c r="B412" s="72"/>
      <c r="C412" s="72"/>
      <c r="E412" s="72"/>
      <c r="G412" s="71"/>
    </row>
    <row r="413" spans="1:7" ht="12.75" x14ac:dyDescent="0.2">
      <c r="A413" s="71"/>
      <c r="B413" s="72"/>
      <c r="C413" s="72"/>
      <c r="E413" s="72"/>
      <c r="G413" s="71"/>
    </row>
    <row r="414" spans="1:7" ht="12.75" x14ac:dyDescent="0.2">
      <c r="A414" s="71"/>
      <c r="B414" s="72"/>
      <c r="C414" s="72"/>
      <c r="E414" s="72"/>
      <c r="G414" s="71"/>
    </row>
    <row r="415" spans="1:7" ht="12.75" x14ac:dyDescent="0.2">
      <c r="A415" s="71"/>
      <c r="B415" s="72"/>
      <c r="C415" s="72"/>
      <c r="E415" s="72"/>
      <c r="G415" s="71"/>
    </row>
    <row r="416" spans="1:7" ht="12.75" x14ac:dyDescent="0.2">
      <c r="A416" s="71"/>
      <c r="B416" s="72"/>
      <c r="C416" s="72"/>
      <c r="E416" s="72"/>
      <c r="G416" s="71"/>
    </row>
    <row r="417" spans="1:7" ht="12.75" x14ac:dyDescent="0.2">
      <c r="A417" s="71"/>
      <c r="B417" s="72"/>
      <c r="C417" s="72"/>
      <c r="E417" s="72"/>
      <c r="G417" s="71"/>
    </row>
    <row r="418" spans="1:7" ht="12.75" x14ac:dyDescent="0.2">
      <c r="A418" s="71"/>
      <c r="B418" s="72"/>
      <c r="C418" s="72"/>
      <c r="E418" s="72"/>
      <c r="G418" s="71"/>
    </row>
    <row r="419" spans="1:7" ht="12.75" x14ac:dyDescent="0.2">
      <c r="A419" s="71"/>
      <c r="B419" s="72"/>
      <c r="C419" s="72"/>
      <c r="E419" s="72"/>
      <c r="G419" s="71"/>
    </row>
    <row r="420" spans="1:7" ht="12.75" x14ac:dyDescent="0.2">
      <c r="A420" s="71"/>
      <c r="B420" s="72"/>
      <c r="C420" s="72"/>
      <c r="E420" s="72"/>
      <c r="G420" s="71"/>
    </row>
    <row r="421" spans="1:7" ht="12.75" x14ac:dyDescent="0.2">
      <c r="A421" s="71"/>
      <c r="B421" s="72"/>
      <c r="C421" s="72"/>
      <c r="E421" s="72"/>
      <c r="G421" s="71"/>
    </row>
    <row r="422" spans="1:7" ht="12.75" x14ac:dyDescent="0.2">
      <c r="A422" s="71"/>
      <c r="B422" s="72"/>
      <c r="C422" s="72"/>
      <c r="E422" s="72"/>
      <c r="G422" s="71"/>
    </row>
    <row r="423" spans="1:7" ht="12.75" x14ac:dyDescent="0.2">
      <c r="A423" s="71"/>
      <c r="B423" s="72"/>
      <c r="C423" s="72"/>
      <c r="E423" s="72"/>
      <c r="G423" s="71"/>
    </row>
    <row r="424" spans="1:7" ht="12.75" x14ac:dyDescent="0.2">
      <c r="A424" s="71"/>
      <c r="B424" s="72"/>
      <c r="C424" s="72"/>
      <c r="E424" s="72"/>
      <c r="G424" s="71"/>
    </row>
    <row r="425" spans="1:7" ht="12.75" x14ac:dyDescent="0.2">
      <c r="A425" s="71"/>
      <c r="B425" s="72"/>
      <c r="C425" s="72"/>
      <c r="E425" s="72"/>
      <c r="G425" s="71"/>
    </row>
    <row r="426" spans="1:7" ht="12.75" x14ac:dyDescent="0.2">
      <c r="A426" s="71"/>
      <c r="B426" s="72"/>
      <c r="C426" s="72"/>
      <c r="E426" s="72"/>
      <c r="G426" s="71"/>
    </row>
    <row r="427" spans="1:7" ht="12.75" x14ac:dyDescent="0.2">
      <c r="A427" s="71"/>
      <c r="B427" s="72"/>
      <c r="C427" s="72"/>
      <c r="E427" s="72"/>
      <c r="G427" s="71"/>
    </row>
    <row r="428" spans="1:7" ht="12.75" x14ac:dyDescent="0.2">
      <c r="A428" s="71"/>
      <c r="B428" s="72"/>
      <c r="C428" s="72"/>
      <c r="E428" s="72"/>
      <c r="G428" s="71"/>
    </row>
    <row r="429" spans="1:7" ht="12.75" x14ac:dyDescent="0.2">
      <c r="A429" s="71"/>
      <c r="B429" s="72"/>
      <c r="C429" s="72"/>
      <c r="E429" s="72"/>
      <c r="G429" s="71"/>
    </row>
    <row r="430" spans="1:7" ht="12.75" x14ac:dyDescent="0.2">
      <c r="A430" s="71"/>
      <c r="B430" s="72"/>
      <c r="C430" s="72"/>
      <c r="E430" s="72"/>
      <c r="G430" s="71"/>
    </row>
    <row r="431" spans="1:7" ht="12.75" x14ac:dyDescent="0.2">
      <c r="A431" s="71"/>
      <c r="B431" s="72"/>
      <c r="C431" s="72"/>
      <c r="E431" s="72"/>
      <c r="G431" s="71"/>
    </row>
    <row r="432" spans="1:7" ht="12.75" x14ac:dyDescent="0.2">
      <c r="A432" s="71"/>
      <c r="B432" s="72"/>
      <c r="C432" s="72"/>
      <c r="E432" s="72"/>
      <c r="G432" s="71"/>
    </row>
    <row r="433" spans="1:7" ht="12.75" x14ac:dyDescent="0.2">
      <c r="A433" s="71"/>
      <c r="B433" s="72"/>
      <c r="C433" s="72"/>
      <c r="E433" s="72"/>
      <c r="G433" s="71"/>
    </row>
    <row r="434" spans="1:7" ht="12.75" x14ac:dyDescent="0.2">
      <c r="A434" s="71"/>
      <c r="B434" s="72"/>
      <c r="C434" s="72"/>
      <c r="E434" s="72"/>
      <c r="G434" s="71"/>
    </row>
    <row r="435" spans="1:7" ht="12.75" x14ac:dyDescent="0.2">
      <c r="A435" s="71"/>
      <c r="B435" s="72"/>
      <c r="C435" s="72"/>
      <c r="E435" s="72"/>
      <c r="G435" s="71"/>
    </row>
    <row r="436" spans="1:7" ht="12.75" x14ac:dyDescent="0.2">
      <c r="A436" s="71"/>
      <c r="B436" s="72"/>
      <c r="C436" s="72"/>
      <c r="E436" s="72"/>
      <c r="G436" s="71"/>
    </row>
    <row r="437" spans="1:7" ht="12.75" x14ac:dyDescent="0.2">
      <c r="A437" s="71"/>
      <c r="B437" s="72"/>
      <c r="C437" s="72"/>
      <c r="E437" s="72"/>
      <c r="G437" s="71"/>
    </row>
    <row r="438" spans="1:7" ht="12.75" x14ac:dyDescent="0.2">
      <c r="A438" s="71"/>
      <c r="B438" s="72"/>
      <c r="C438" s="72"/>
      <c r="E438" s="72"/>
      <c r="G438" s="71"/>
    </row>
    <row r="439" spans="1:7" ht="12.75" x14ac:dyDescent="0.2">
      <c r="A439" s="71"/>
      <c r="B439" s="72"/>
      <c r="C439" s="72"/>
      <c r="E439" s="72"/>
      <c r="G439" s="71"/>
    </row>
    <row r="440" spans="1:7" ht="12.75" x14ac:dyDescent="0.2">
      <c r="A440" s="71"/>
      <c r="B440" s="72"/>
      <c r="C440" s="72"/>
      <c r="E440" s="72"/>
      <c r="G440" s="71"/>
    </row>
    <row r="441" spans="1:7" ht="12.75" x14ac:dyDescent="0.2">
      <c r="A441" s="71"/>
      <c r="B441" s="72"/>
      <c r="C441" s="72"/>
      <c r="E441" s="72"/>
      <c r="G441" s="71"/>
    </row>
    <row r="442" spans="1:7" ht="12.75" x14ac:dyDescent="0.2">
      <c r="A442" s="71"/>
      <c r="B442" s="72"/>
      <c r="C442" s="72"/>
      <c r="E442" s="72"/>
      <c r="G442" s="71"/>
    </row>
    <row r="443" spans="1:7" ht="12.75" x14ac:dyDescent="0.2">
      <c r="A443" s="71"/>
      <c r="B443" s="72"/>
      <c r="C443" s="72"/>
      <c r="E443" s="72"/>
      <c r="G443" s="71"/>
    </row>
    <row r="444" spans="1:7" ht="12.75" x14ac:dyDescent="0.2">
      <c r="A444" s="71"/>
      <c r="B444" s="72"/>
      <c r="C444" s="72"/>
      <c r="E444" s="72"/>
      <c r="G444" s="71"/>
    </row>
    <row r="445" spans="1:7" ht="12.75" x14ac:dyDescent="0.2">
      <c r="A445" s="71"/>
      <c r="B445" s="72"/>
      <c r="C445" s="72"/>
      <c r="E445" s="72"/>
      <c r="G445" s="71"/>
    </row>
    <row r="446" spans="1:7" ht="12.75" x14ac:dyDescent="0.2">
      <c r="A446" s="71"/>
      <c r="B446" s="72"/>
      <c r="C446" s="72"/>
      <c r="E446" s="72"/>
      <c r="G446" s="71"/>
    </row>
    <row r="447" spans="1:7" ht="12.75" x14ac:dyDescent="0.2">
      <c r="A447" s="71"/>
      <c r="B447" s="72"/>
      <c r="C447" s="72"/>
      <c r="E447" s="72"/>
      <c r="G447" s="71"/>
    </row>
    <row r="448" spans="1:7" ht="12.75" x14ac:dyDescent="0.2">
      <c r="A448" s="71"/>
      <c r="B448" s="72"/>
      <c r="C448" s="72"/>
      <c r="E448" s="72"/>
      <c r="G448" s="71"/>
    </row>
    <row r="449" spans="1:7" ht="12.75" x14ac:dyDescent="0.2">
      <c r="A449" s="71"/>
      <c r="B449" s="72"/>
      <c r="C449" s="72"/>
      <c r="E449" s="72"/>
      <c r="G449" s="71"/>
    </row>
    <row r="450" spans="1:7" ht="12.75" x14ac:dyDescent="0.2">
      <c r="A450" s="71"/>
      <c r="B450" s="72"/>
      <c r="C450" s="72"/>
      <c r="E450" s="72"/>
      <c r="G450" s="71"/>
    </row>
    <row r="451" spans="1:7" ht="12.75" x14ac:dyDescent="0.2">
      <c r="A451" s="71"/>
      <c r="B451" s="72"/>
      <c r="C451" s="72"/>
      <c r="E451" s="72"/>
      <c r="G451" s="71"/>
    </row>
    <row r="452" spans="1:7" ht="12.75" x14ac:dyDescent="0.2">
      <c r="A452" s="71"/>
      <c r="B452" s="72"/>
      <c r="C452" s="72"/>
      <c r="E452" s="72"/>
      <c r="G452" s="71"/>
    </row>
    <row r="453" spans="1:7" ht="12.75" x14ac:dyDescent="0.2">
      <c r="A453" s="71"/>
      <c r="B453" s="72"/>
      <c r="C453" s="72"/>
      <c r="E453" s="72"/>
      <c r="G453" s="71"/>
    </row>
    <row r="454" spans="1:7" ht="12.75" x14ac:dyDescent="0.2">
      <c r="A454" s="71"/>
      <c r="B454" s="72"/>
      <c r="C454" s="72"/>
      <c r="E454" s="72"/>
      <c r="G454" s="71"/>
    </row>
    <row r="455" spans="1:7" ht="12.75" x14ac:dyDescent="0.2">
      <c r="A455" s="71"/>
      <c r="B455" s="72"/>
      <c r="C455" s="72"/>
      <c r="E455" s="72"/>
      <c r="G455" s="71"/>
    </row>
    <row r="456" spans="1:7" ht="12.75" x14ac:dyDescent="0.2">
      <c r="A456" s="71"/>
      <c r="B456" s="72"/>
      <c r="C456" s="72"/>
      <c r="E456" s="72"/>
      <c r="G456" s="71"/>
    </row>
    <row r="457" spans="1:7" ht="12.75" x14ac:dyDescent="0.2">
      <c r="A457" s="71"/>
      <c r="B457" s="72"/>
      <c r="C457" s="72"/>
      <c r="E457" s="72"/>
      <c r="G457" s="71"/>
    </row>
    <row r="458" spans="1:7" ht="12.75" x14ac:dyDescent="0.2">
      <c r="A458" s="71"/>
      <c r="B458" s="72"/>
      <c r="C458" s="72"/>
      <c r="E458" s="72"/>
      <c r="G458" s="71"/>
    </row>
    <row r="459" spans="1:7" ht="12.75" x14ac:dyDescent="0.2">
      <c r="A459" s="71"/>
      <c r="B459" s="72"/>
      <c r="C459" s="72"/>
      <c r="E459" s="72"/>
      <c r="G459" s="71"/>
    </row>
    <row r="460" spans="1:7" ht="12.75" x14ac:dyDescent="0.2">
      <c r="A460" s="71"/>
      <c r="B460" s="72"/>
      <c r="C460" s="72"/>
      <c r="E460" s="72"/>
      <c r="G460" s="71"/>
    </row>
    <row r="461" spans="1:7" ht="12.75" x14ac:dyDescent="0.2">
      <c r="A461" s="71"/>
      <c r="B461" s="72"/>
      <c r="C461" s="72"/>
      <c r="E461" s="72"/>
      <c r="G461" s="71"/>
    </row>
    <row r="462" spans="1:7" ht="12.75" x14ac:dyDescent="0.2">
      <c r="A462" s="71"/>
      <c r="B462" s="72"/>
      <c r="C462" s="72"/>
      <c r="E462" s="72"/>
      <c r="G462" s="71"/>
    </row>
    <row r="463" spans="1:7" ht="12.75" x14ac:dyDescent="0.2">
      <c r="A463" s="71"/>
      <c r="B463" s="72"/>
      <c r="C463" s="72"/>
      <c r="E463" s="72"/>
      <c r="G463" s="71"/>
    </row>
    <row r="464" spans="1:7" ht="12.75" x14ac:dyDescent="0.2">
      <c r="A464" s="71"/>
      <c r="B464" s="72"/>
      <c r="C464" s="72"/>
      <c r="E464" s="72"/>
      <c r="G464" s="71"/>
    </row>
    <row r="465" spans="1:7" ht="12.75" x14ac:dyDescent="0.2">
      <c r="A465" s="71"/>
      <c r="B465" s="72"/>
      <c r="C465" s="72"/>
      <c r="E465" s="72"/>
      <c r="G465" s="71"/>
    </row>
    <row r="466" spans="1:7" ht="12.75" x14ac:dyDescent="0.2">
      <c r="A466" s="71"/>
      <c r="B466" s="72"/>
      <c r="C466" s="72"/>
      <c r="E466" s="72"/>
      <c r="G466" s="71"/>
    </row>
    <row r="467" spans="1:7" ht="12.75" x14ac:dyDescent="0.2">
      <c r="A467" s="71"/>
      <c r="B467" s="72"/>
      <c r="C467" s="72"/>
      <c r="E467" s="72"/>
      <c r="G467" s="71"/>
    </row>
    <row r="468" spans="1:7" ht="12.75" x14ac:dyDescent="0.2">
      <c r="A468" s="71"/>
      <c r="B468" s="72"/>
      <c r="C468" s="72"/>
      <c r="E468" s="72"/>
      <c r="G468" s="71"/>
    </row>
    <row r="469" spans="1:7" ht="12.75" x14ac:dyDescent="0.2">
      <c r="A469" s="71"/>
      <c r="B469" s="72"/>
      <c r="C469" s="72"/>
      <c r="E469" s="72"/>
      <c r="G469" s="71"/>
    </row>
    <row r="470" spans="1:7" ht="12.75" x14ac:dyDescent="0.2">
      <c r="A470" s="71"/>
      <c r="B470" s="72"/>
      <c r="C470" s="72"/>
      <c r="E470" s="72"/>
      <c r="G470" s="71"/>
    </row>
    <row r="471" spans="1:7" ht="12.75" x14ac:dyDescent="0.2">
      <c r="A471" s="71"/>
      <c r="B471" s="72"/>
      <c r="C471" s="72"/>
      <c r="E471" s="72"/>
      <c r="G471" s="71"/>
    </row>
    <row r="472" spans="1:7" ht="12.75" x14ac:dyDescent="0.2">
      <c r="A472" s="71"/>
      <c r="B472" s="72"/>
      <c r="C472" s="72"/>
      <c r="E472" s="72"/>
      <c r="G472" s="71"/>
    </row>
    <row r="473" spans="1:7" ht="12.75" x14ac:dyDescent="0.2">
      <c r="A473" s="71"/>
      <c r="B473" s="72"/>
      <c r="C473" s="72"/>
      <c r="E473" s="72"/>
      <c r="G473" s="71"/>
    </row>
    <row r="474" spans="1:7" ht="12.75" x14ac:dyDescent="0.2">
      <c r="A474" s="71"/>
      <c r="B474" s="72"/>
      <c r="C474" s="72"/>
      <c r="E474" s="72"/>
      <c r="G474" s="71"/>
    </row>
    <row r="475" spans="1:7" ht="12.75" x14ac:dyDescent="0.2">
      <c r="A475" s="71"/>
      <c r="B475" s="72"/>
      <c r="C475" s="72"/>
      <c r="E475" s="72"/>
      <c r="G475" s="71"/>
    </row>
    <row r="476" spans="1:7" ht="12.75" x14ac:dyDescent="0.2">
      <c r="A476" s="71"/>
      <c r="B476" s="72"/>
      <c r="C476" s="72"/>
      <c r="E476" s="72"/>
      <c r="G476" s="71"/>
    </row>
    <row r="477" spans="1:7" ht="12.75" x14ac:dyDescent="0.2">
      <c r="A477" s="71"/>
      <c r="B477" s="72"/>
      <c r="C477" s="72"/>
      <c r="E477" s="72"/>
      <c r="G477" s="71"/>
    </row>
    <row r="478" spans="1:7" ht="12.75" x14ac:dyDescent="0.2">
      <c r="A478" s="71"/>
      <c r="B478" s="72"/>
      <c r="C478" s="72"/>
      <c r="E478" s="72"/>
      <c r="G478" s="71"/>
    </row>
    <row r="479" spans="1:7" ht="12.75" x14ac:dyDescent="0.2">
      <c r="A479" s="71"/>
      <c r="B479" s="72"/>
      <c r="C479" s="72"/>
      <c r="E479" s="72"/>
      <c r="G479" s="71"/>
    </row>
    <row r="480" spans="1:7" ht="12.75" x14ac:dyDescent="0.2">
      <c r="A480" s="71"/>
      <c r="B480" s="72"/>
      <c r="C480" s="72"/>
      <c r="E480" s="72"/>
      <c r="G480" s="71"/>
    </row>
    <row r="481" spans="1:7" ht="12.75" x14ac:dyDescent="0.2">
      <c r="A481" s="71"/>
      <c r="B481" s="72"/>
      <c r="C481" s="72"/>
      <c r="E481" s="72"/>
      <c r="G481" s="71"/>
    </row>
    <row r="482" spans="1:7" ht="12.75" x14ac:dyDescent="0.2">
      <c r="A482" s="71"/>
      <c r="B482" s="72"/>
      <c r="C482" s="72"/>
      <c r="E482" s="72"/>
      <c r="G482" s="71"/>
    </row>
    <row r="483" spans="1:7" ht="12.75" x14ac:dyDescent="0.2">
      <c r="A483" s="71"/>
      <c r="B483" s="72"/>
      <c r="C483" s="72"/>
      <c r="E483" s="72"/>
      <c r="G483" s="71"/>
    </row>
    <row r="484" spans="1:7" ht="12.75" x14ac:dyDescent="0.2">
      <c r="A484" s="71"/>
      <c r="B484" s="72"/>
      <c r="C484" s="72"/>
      <c r="E484" s="72"/>
      <c r="G484" s="71"/>
    </row>
    <row r="485" spans="1:7" ht="12.75" x14ac:dyDescent="0.2">
      <c r="A485" s="71"/>
      <c r="B485" s="72"/>
      <c r="C485" s="72"/>
      <c r="E485" s="72"/>
      <c r="G485" s="71"/>
    </row>
    <row r="486" spans="1:7" ht="12.75" x14ac:dyDescent="0.2">
      <c r="A486" s="71"/>
      <c r="B486" s="72"/>
      <c r="C486" s="72"/>
      <c r="E486" s="72"/>
      <c r="G486" s="71"/>
    </row>
    <row r="487" spans="1:7" ht="12.75" x14ac:dyDescent="0.2">
      <c r="A487" s="71"/>
      <c r="B487" s="72"/>
      <c r="C487" s="72"/>
      <c r="E487" s="72"/>
      <c r="G487" s="71"/>
    </row>
    <row r="488" spans="1:7" ht="12.75" x14ac:dyDescent="0.2">
      <c r="A488" s="71"/>
      <c r="B488" s="72"/>
      <c r="C488" s="72"/>
      <c r="E488" s="72"/>
      <c r="G488" s="71"/>
    </row>
    <row r="489" spans="1:7" ht="12.75" x14ac:dyDescent="0.2">
      <c r="A489" s="71"/>
      <c r="B489" s="72"/>
      <c r="C489" s="72"/>
      <c r="E489" s="72"/>
      <c r="G489" s="71"/>
    </row>
    <row r="490" spans="1:7" ht="12.75" x14ac:dyDescent="0.2">
      <c r="A490" s="71"/>
      <c r="B490" s="72"/>
      <c r="C490" s="72"/>
      <c r="E490" s="72"/>
      <c r="G490" s="71"/>
    </row>
    <row r="491" spans="1:7" ht="12.75" x14ac:dyDescent="0.2">
      <c r="A491" s="71"/>
      <c r="B491" s="72"/>
      <c r="C491" s="72"/>
      <c r="E491" s="72"/>
      <c r="G491" s="71"/>
    </row>
    <row r="492" spans="1:7" ht="12.75" x14ac:dyDescent="0.2">
      <c r="A492" s="71"/>
      <c r="B492" s="72"/>
      <c r="C492" s="72"/>
      <c r="E492" s="72"/>
      <c r="G492" s="71"/>
    </row>
    <row r="493" spans="1:7" ht="12.75" x14ac:dyDescent="0.2">
      <c r="A493" s="71"/>
      <c r="B493" s="72"/>
      <c r="C493" s="72"/>
      <c r="E493" s="72"/>
      <c r="G493" s="71"/>
    </row>
    <row r="494" spans="1:7" ht="12.75" x14ac:dyDescent="0.2">
      <c r="A494" s="71"/>
      <c r="B494" s="72"/>
      <c r="C494" s="72"/>
      <c r="E494" s="72"/>
      <c r="G494" s="71"/>
    </row>
    <row r="495" spans="1:7" ht="12.75" x14ac:dyDescent="0.2">
      <c r="A495" s="71"/>
      <c r="B495" s="72"/>
      <c r="C495" s="72"/>
      <c r="E495" s="72"/>
      <c r="G495" s="71"/>
    </row>
    <row r="496" spans="1:7" ht="12.75" x14ac:dyDescent="0.2">
      <c r="A496" s="71"/>
      <c r="B496" s="72"/>
      <c r="C496" s="72"/>
      <c r="E496" s="72"/>
      <c r="G496" s="71"/>
    </row>
    <row r="497" spans="1:7" ht="12.75" x14ac:dyDescent="0.2">
      <c r="A497" s="71"/>
      <c r="B497" s="72"/>
      <c r="C497" s="72"/>
      <c r="E497" s="72"/>
      <c r="G497" s="71"/>
    </row>
    <row r="498" spans="1:7" ht="12.75" x14ac:dyDescent="0.2">
      <c r="A498" s="71"/>
      <c r="B498" s="72"/>
      <c r="C498" s="72"/>
      <c r="E498" s="72"/>
      <c r="G498" s="71"/>
    </row>
    <row r="499" spans="1:7" ht="12.75" x14ac:dyDescent="0.2">
      <c r="A499" s="71"/>
      <c r="B499" s="72"/>
      <c r="C499" s="72"/>
      <c r="E499" s="72"/>
      <c r="G499" s="71"/>
    </row>
    <row r="500" spans="1:7" ht="12.75" x14ac:dyDescent="0.2">
      <c r="A500" s="71"/>
      <c r="B500" s="72"/>
      <c r="C500" s="72"/>
      <c r="E500" s="72"/>
      <c r="G500" s="71"/>
    </row>
    <row r="501" spans="1:7" ht="12.75" x14ac:dyDescent="0.2">
      <c r="A501" s="71"/>
      <c r="B501" s="72"/>
      <c r="C501" s="72"/>
      <c r="E501" s="72"/>
      <c r="G501" s="71"/>
    </row>
    <row r="502" spans="1:7" ht="12.75" x14ac:dyDescent="0.2">
      <c r="A502" s="71"/>
      <c r="B502" s="72"/>
      <c r="C502" s="72"/>
      <c r="E502" s="72"/>
      <c r="G502" s="71"/>
    </row>
    <row r="503" spans="1:7" ht="12.75" x14ac:dyDescent="0.2">
      <c r="A503" s="71"/>
      <c r="B503" s="72"/>
      <c r="C503" s="72"/>
      <c r="E503" s="72"/>
      <c r="G503" s="71"/>
    </row>
    <row r="504" spans="1:7" ht="12.75" x14ac:dyDescent="0.2">
      <c r="A504" s="71"/>
      <c r="B504" s="72"/>
      <c r="C504" s="72"/>
      <c r="E504" s="72"/>
      <c r="G504" s="71"/>
    </row>
    <row r="505" spans="1:7" ht="12.75" x14ac:dyDescent="0.2">
      <c r="A505" s="71"/>
      <c r="B505" s="72"/>
      <c r="C505" s="72"/>
      <c r="E505" s="72"/>
      <c r="G505" s="71"/>
    </row>
    <row r="506" spans="1:7" ht="12.75" x14ac:dyDescent="0.2">
      <c r="A506" s="71"/>
      <c r="B506" s="72"/>
      <c r="C506" s="72"/>
      <c r="E506" s="72"/>
      <c r="G506" s="71"/>
    </row>
    <row r="507" spans="1:7" ht="12.75" x14ac:dyDescent="0.2">
      <c r="A507" s="71"/>
      <c r="B507" s="72"/>
      <c r="C507" s="72"/>
      <c r="E507" s="72"/>
      <c r="G507" s="71"/>
    </row>
    <row r="508" spans="1:7" ht="12.75" x14ac:dyDescent="0.2">
      <c r="A508" s="71"/>
      <c r="B508" s="72"/>
      <c r="C508" s="72"/>
      <c r="E508" s="72"/>
      <c r="G508" s="71"/>
    </row>
    <row r="509" spans="1:7" ht="12.75" x14ac:dyDescent="0.2">
      <c r="A509" s="71"/>
      <c r="B509" s="72"/>
      <c r="C509" s="72"/>
      <c r="E509" s="72"/>
      <c r="G509" s="71"/>
    </row>
    <row r="510" spans="1:7" ht="12.75" x14ac:dyDescent="0.2">
      <c r="A510" s="71"/>
      <c r="B510" s="72"/>
      <c r="C510" s="72"/>
      <c r="E510" s="72"/>
      <c r="G510" s="71"/>
    </row>
    <row r="511" spans="1:7" ht="12.75" x14ac:dyDescent="0.2">
      <c r="A511" s="71"/>
      <c r="B511" s="72"/>
      <c r="C511" s="72"/>
      <c r="E511" s="72"/>
      <c r="G511" s="71"/>
    </row>
    <row r="512" spans="1:7" ht="12.75" x14ac:dyDescent="0.2">
      <c r="A512" s="71"/>
      <c r="B512" s="72"/>
      <c r="C512" s="72"/>
      <c r="E512" s="72"/>
      <c r="G512" s="71"/>
    </row>
    <row r="513" spans="1:7" ht="12.75" x14ac:dyDescent="0.2">
      <c r="A513" s="71"/>
      <c r="B513" s="72"/>
      <c r="C513" s="72"/>
      <c r="E513" s="72"/>
      <c r="G513" s="71"/>
    </row>
    <row r="514" spans="1:7" ht="12.75" x14ac:dyDescent="0.2">
      <c r="A514" s="71"/>
      <c r="B514" s="72"/>
      <c r="C514" s="72"/>
      <c r="E514" s="72"/>
      <c r="G514" s="71"/>
    </row>
    <row r="515" spans="1:7" ht="12.75" x14ac:dyDescent="0.2">
      <c r="A515" s="71"/>
      <c r="B515" s="72"/>
      <c r="C515" s="72"/>
      <c r="E515" s="72"/>
      <c r="G515" s="71"/>
    </row>
    <row r="516" spans="1:7" ht="12.75" x14ac:dyDescent="0.2">
      <c r="A516" s="71"/>
      <c r="B516" s="72"/>
      <c r="C516" s="72"/>
      <c r="E516" s="72"/>
      <c r="G516" s="71"/>
    </row>
    <row r="517" spans="1:7" ht="12.75" x14ac:dyDescent="0.2">
      <c r="A517" s="71"/>
      <c r="B517" s="72"/>
      <c r="C517" s="72"/>
      <c r="E517" s="72"/>
      <c r="G517" s="71"/>
    </row>
    <row r="518" spans="1:7" ht="12.75" x14ac:dyDescent="0.2">
      <c r="A518" s="71"/>
      <c r="B518" s="72"/>
      <c r="C518" s="72"/>
      <c r="E518" s="72"/>
      <c r="G518" s="71"/>
    </row>
    <row r="519" spans="1:7" ht="12.75" x14ac:dyDescent="0.2">
      <c r="A519" s="71"/>
      <c r="B519" s="72"/>
      <c r="C519" s="72"/>
      <c r="E519" s="72"/>
      <c r="G519" s="71"/>
    </row>
    <row r="520" spans="1:7" ht="12.75" x14ac:dyDescent="0.2">
      <c r="A520" s="71"/>
      <c r="B520" s="72"/>
      <c r="C520" s="72"/>
      <c r="E520" s="72"/>
      <c r="G520" s="71"/>
    </row>
    <row r="521" spans="1:7" ht="12.75" x14ac:dyDescent="0.2">
      <c r="A521" s="71"/>
      <c r="B521" s="72"/>
      <c r="C521" s="72"/>
      <c r="E521" s="72"/>
      <c r="G521" s="71"/>
    </row>
    <row r="522" spans="1:7" ht="12.75" x14ac:dyDescent="0.2">
      <c r="A522" s="71"/>
      <c r="B522" s="72"/>
      <c r="C522" s="72"/>
      <c r="E522" s="72"/>
      <c r="G522" s="71"/>
    </row>
    <row r="523" spans="1:7" ht="12.75" x14ac:dyDescent="0.2">
      <c r="A523" s="71"/>
      <c r="B523" s="72"/>
      <c r="C523" s="72"/>
      <c r="E523" s="72"/>
      <c r="G523" s="71"/>
    </row>
    <row r="524" spans="1:7" ht="12.75" x14ac:dyDescent="0.2">
      <c r="A524" s="71"/>
      <c r="B524" s="72"/>
      <c r="C524" s="72"/>
      <c r="E524" s="72"/>
      <c r="G524" s="71"/>
    </row>
    <row r="525" spans="1:7" ht="12.75" x14ac:dyDescent="0.2">
      <c r="A525" s="71"/>
      <c r="B525" s="72"/>
      <c r="C525" s="72"/>
      <c r="E525" s="72"/>
      <c r="G525" s="71"/>
    </row>
    <row r="526" spans="1:7" ht="12.75" x14ac:dyDescent="0.2">
      <c r="A526" s="71"/>
      <c r="B526" s="72"/>
      <c r="C526" s="72"/>
      <c r="E526" s="72"/>
      <c r="G526" s="71"/>
    </row>
    <row r="527" spans="1:7" ht="12.75" x14ac:dyDescent="0.2">
      <c r="A527" s="71"/>
      <c r="B527" s="72"/>
      <c r="C527" s="72"/>
      <c r="E527" s="72"/>
      <c r="G527" s="71"/>
    </row>
    <row r="528" spans="1:7" ht="12.75" x14ac:dyDescent="0.2">
      <c r="A528" s="71"/>
      <c r="B528" s="72"/>
      <c r="C528" s="72"/>
      <c r="E528" s="72"/>
      <c r="G528" s="71"/>
    </row>
    <row r="529" spans="1:7" ht="12.75" x14ac:dyDescent="0.2">
      <c r="A529" s="71"/>
      <c r="B529" s="72"/>
      <c r="C529" s="72"/>
      <c r="E529" s="72"/>
      <c r="G529" s="71"/>
    </row>
    <row r="530" spans="1:7" ht="12.75" x14ac:dyDescent="0.2">
      <c r="A530" s="71"/>
      <c r="B530" s="72"/>
      <c r="C530" s="72"/>
      <c r="E530" s="72"/>
      <c r="G530" s="71"/>
    </row>
    <row r="531" spans="1:7" ht="12.75" x14ac:dyDescent="0.2">
      <c r="A531" s="71"/>
      <c r="B531" s="72"/>
      <c r="C531" s="72"/>
      <c r="E531" s="72"/>
      <c r="G531" s="71"/>
    </row>
    <row r="532" spans="1:7" ht="12.75" x14ac:dyDescent="0.2">
      <c r="A532" s="71"/>
      <c r="B532" s="72"/>
      <c r="C532" s="72"/>
      <c r="E532" s="72"/>
      <c r="G532" s="71"/>
    </row>
    <row r="533" spans="1:7" ht="12.75" x14ac:dyDescent="0.2">
      <c r="A533" s="71"/>
      <c r="B533" s="72"/>
      <c r="C533" s="72"/>
      <c r="E533" s="72"/>
      <c r="G533" s="71"/>
    </row>
    <row r="534" spans="1:7" ht="12.75" x14ac:dyDescent="0.2">
      <c r="A534" s="71"/>
      <c r="B534" s="72"/>
      <c r="C534" s="72"/>
      <c r="E534" s="72"/>
      <c r="G534" s="71"/>
    </row>
    <row r="535" spans="1:7" ht="12.75" x14ac:dyDescent="0.2">
      <c r="A535" s="71"/>
      <c r="B535" s="72"/>
      <c r="C535" s="72"/>
      <c r="E535" s="72"/>
      <c r="G535" s="71"/>
    </row>
    <row r="536" spans="1:7" ht="12.75" x14ac:dyDescent="0.2">
      <c r="A536" s="71"/>
      <c r="B536" s="72"/>
      <c r="C536" s="72"/>
      <c r="E536" s="72"/>
      <c r="G536" s="71"/>
    </row>
    <row r="537" spans="1:7" ht="12.75" x14ac:dyDescent="0.2">
      <c r="A537" s="71"/>
      <c r="B537" s="72"/>
      <c r="C537" s="72"/>
      <c r="E537" s="72"/>
      <c r="G537" s="71"/>
    </row>
    <row r="538" spans="1:7" ht="12.75" x14ac:dyDescent="0.2">
      <c r="A538" s="71"/>
      <c r="B538" s="72"/>
      <c r="C538" s="72"/>
      <c r="E538" s="72"/>
      <c r="G538" s="71"/>
    </row>
    <row r="539" spans="1:7" ht="12.75" x14ac:dyDescent="0.2">
      <c r="A539" s="71"/>
      <c r="B539" s="72"/>
      <c r="C539" s="72"/>
      <c r="E539" s="72"/>
      <c r="G539" s="71"/>
    </row>
    <row r="540" spans="1:7" ht="12.75" x14ac:dyDescent="0.2">
      <c r="A540" s="71"/>
      <c r="B540" s="72"/>
      <c r="C540" s="72"/>
      <c r="E540" s="72"/>
      <c r="G540" s="71"/>
    </row>
    <row r="541" spans="1:7" ht="12.75" x14ac:dyDescent="0.2">
      <c r="A541" s="71"/>
      <c r="B541" s="72"/>
      <c r="C541" s="72"/>
      <c r="E541" s="72"/>
      <c r="G541" s="71"/>
    </row>
    <row r="542" spans="1:7" ht="12.75" x14ac:dyDescent="0.2">
      <c r="A542" s="71"/>
      <c r="B542" s="72"/>
      <c r="C542" s="72"/>
      <c r="E542" s="72"/>
      <c r="G542" s="71"/>
    </row>
    <row r="543" spans="1:7" ht="12.75" x14ac:dyDescent="0.2">
      <c r="A543" s="71"/>
      <c r="B543" s="72"/>
      <c r="C543" s="72"/>
      <c r="E543" s="72"/>
      <c r="G543" s="71"/>
    </row>
    <row r="544" spans="1:7" ht="12.75" x14ac:dyDescent="0.2">
      <c r="A544" s="71"/>
      <c r="B544" s="72"/>
      <c r="C544" s="72"/>
      <c r="E544" s="72"/>
      <c r="G544" s="71"/>
    </row>
    <row r="545" spans="1:7" ht="12.75" x14ac:dyDescent="0.2">
      <c r="A545" s="71"/>
      <c r="B545" s="72"/>
      <c r="C545" s="72"/>
      <c r="E545" s="72"/>
      <c r="G545" s="71"/>
    </row>
    <row r="546" spans="1:7" ht="12.75" x14ac:dyDescent="0.2">
      <c r="A546" s="71"/>
      <c r="B546" s="72"/>
      <c r="C546" s="72"/>
      <c r="E546" s="72"/>
      <c r="G546" s="71"/>
    </row>
    <row r="547" spans="1:7" ht="12.75" x14ac:dyDescent="0.2">
      <c r="A547" s="71"/>
      <c r="B547" s="72"/>
      <c r="C547" s="72"/>
      <c r="E547" s="72"/>
      <c r="G547" s="71"/>
    </row>
    <row r="548" spans="1:7" ht="12.75" x14ac:dyDescent="0.2">
      <c r="A548" s="71"/>
      <c r="B548" s="72"/>
      <c r="C548" s="72"/>
      <c r="E548" s="72"/>
      <c r="G548" s="71"/>
    </row>
    <row r="549" spans="1:7" ht="12.75" x14ac:dyDescent="0.2">
      <c r="A549" s="71"/>
      <c r="B549" s="72"/>
      <c r="C549" s="72"/>
      <c r="E549" s="72"/>
      <c r="G549" s="71"/>
    </row>
    <row r="550" spans="1:7" ht="12.75" x14ac:dyDescent="0.2">
      <c r="A550" s="71"/>
      <c r="B550" s="72"/>
      <c r="C550" s="72"/>
      <c r="E550" s="72"/>
      <c r="G550" s="71"/>
    </row>
    <row r="551" spans="1:7" ht="12.75" x14ac:dyDescent="0.2">
      <c r="A551" s="71"/>
      <c r="B551" s="72"/>
      <c r="C551" s="72"/>
      <c r="E551" s="72"/>
      <c r="G551" s="71"/>
    </row>
    <row r="552" spans="1:7" ht="12.75" x14ac:dyDescent="0.2">
      <c r="A552" s="71"/>
      <c r="B552" s="72"/>
      <c r="C552" s="72"/>
      <c r="E552" s="72"/>
      <c r="G552" s="71"/>
    </row>
    <row r="553" spans="1:7" ht="12.75" x14ac:dyDescent="0.2">
      <c r="A553" s="71"/>
      <c r="B553" s="72"/>
      <c r="C553" s="72"/>
      <c r="E553" s="72"/>
      <c r="G553" s="71"/>
    </row>
    <row r="554" spans="1:7" ht="12.75" x14ac:dyDescent="0.2">
      <c r="A554" s="71"/>
      <c r="B554" s="72"/>
      <c r="C554" s="72"/>
      <c r="E554" s="72"/>
      <c r="G554" s="71"/>
    </row>
    <row r="555" spans="1:7" ht="12.75" x14ac:dyDescent="0.2">
      <c r="A555" s="71"/>
      <c r="B555" s="72"/>
      <c r="C555" s="72"/>
      <c r="E555" s="72"/>
      <c r="G555" s="71"/>
    </row>
    <row r="556" spans="1:7" ht="12.75" x14ac:dyDescent="0.2">
      <c r="A556" s="71"/>
      <c r="B556" s="72"/>
      <c r="C556" s="72"/>
      <c r="E556" s="72"/>
      <c r="G556" s="71"/>
    </row>
    <row r="557" spans="1:7" ht="12.75" x14ac:dyDescent="0.2">
      <c r="A557" s="71"/>
      <c r="B557" s="72"/>
      <c r="C557" s="72"/>
      <c r="E557" s="72"/>
      <c r="G557" s="71"/>
    </row>
    <row r="558" spans="1:7" ht="12.75" x14ac:dyDescent="0.2">
      <c r="A558" s="71"/>
      <c r="B558" s="72"/>
      <c r="C558" s="72"/>
      <c r="E558" s="72"/>
      <c r="G558" s="71"/>
    </row>
    <row r="559" spans="1:7" ht="12.75" x14ac:dyDescent="0.2">
      <c r="A559" s="71"/>
      <c r="B559" s="72"/>
      <c r="C559" s="72"/>
      <c r="E559" s="72"/>
      <c r="G559" s="71"/>
    </row>
    <row r="560" spans="1:7" ht="12.75" x14ac:dyDescent="0.2">
      <c r="A560" s="71"/>
      <c r="B560" s="72"/>
      <c r="C560" s="72"/>
      <c r="E560" s="72"/>
      <c r="G560" s="71"/>
    </row>
    <row r="561" spans="1:7" ht="12.75" x14ac:dyDescent="0.2">
      <c r="A561" s="71"/>
      <c r="B561" s="72"/>
      <c r="C561" s="72"/>
      <c r="E561" s="72"/>
      <c r="G561" s="71"/>
    </row>
    <row r="562" spans="1:7" ht="12.75" x14ac:dyDescent="0.2">
      <c r="A562" s="71"/>
      <c r="B562" s="72"/>
      <c r="C562" s="72"/>
      <c r="E562" s="72"/>
      <c r="G562" s="71"/>
    </row>
    <row r="563" spans="1:7" ht="12.75" x14ac:dyDescent="0.2">
      <c r="A563" s="71"/>
      <c r="B563" s="72"/>
      <c r="C563" s="72"/>
      <c r="E563" s="72"/>
      <c r="G563" s="71"/>
    </row>
    <row r="564" spans="1:7" ht="12.75" x14ac:dyDescent="0.2">
      <c r="A564" s="71"/>
      <c r="B564" s="72"/>
      <c r="C564" s="72"/>
      <c r="E564" s="72"/>
      <c r="G564" s="71"/>
    </row>
    <row r="565" spans="1:7" ht="12.75" x14ac:dyDescent="0.2">
      <c r="A565" s="71"/>
      <c r="B565" s="72"/>
      <c r="C565" s="72"/>
      <c r="E565" s="72"/>
      <c r="G565" s="71"/>
    </row>
    <row r="566" spans="1:7" ht="12.75" x14ac:dyDescent="0.2">
      <c r="A566" s="71"/>
      <c r="B566" s="72"/>
      <c r="C566" s="72"/>
      <c r="E566" s="72"/>
      <c r="G566" s="71"/>
    </row>
    <row r="567" spans="1:7" ht="12.75" x14ac:dyDescent="0.2">
      <c r="A567" s="71"/>
      <c r="B567" s="72"/>
      <c r="C567" s="72"/>
      <c r="E567" s="72"/>
      <c r="G567" s="71"/>
    </row>
    <row r="568" spans="1:7" ht="12.75" x14ac:dyDescent="0.2">
      <c r="A568" s="71"/>
      <c r="B568" s="72"/>
      <c r="C568" s="72"/>
      <c r="E568" s="72"/>
      <c r="G568" s="71"/>
    </row>
    <row r="569" spans="1:7" ht="12.75" x14ac:dyDescent="0.2">
      <c r="A569" s="71"/>
      <c r="B569" s="72"/>
      <c r="C569" s="72"/>
      <c r="E569" s="72"/>
      <c r="G569" s="71"/>
    </row>
    <row r="570" spans="1:7" ht="12.75" x14ac:dyDescent="0.2">
      <c r="A570" s="71"/>
      <c r="B570" s="72"/>
      <c r="C570" s="72"/>
      <c r="E570" s="72"/>
      <c r="G570" s="71"/>
    </row>
    <row r="571" spans="1:7" ht="12.75" x14ac:dyDescent="0.2">
      <c r="A571" s="71"/>
      <c r="B571" s="72"/>
      <c r="C571" s="72"/>
      <c r="E571" s="72"/>
      <c r="G571" s="71"/>
    </row>
    <row r="572" spans="1:7" ht="12.75" x14ac:dyDescent="0.2">
      <c r="A572" s="71"/>
      <c r="B572" s="72"/>
      <c r="C572" s="72"/>
      <c r="E572" s="72"/>
      <c r="G572" s="71"/>
    </row>
    <row r="573" spans="1:7" ht="12.75" x14ac:dyDescent="0.2">
      <c r="A573" s="71"/>
      <c r="B573" s="72"/>
      <c r="C573" s="72"/>
      <c r="E573" s="72"/>
      <c r="G573" s="71"/>
    </row>
    <row r="574" spans="1:7" ht="12.75" x14ac:dyDescent="0.2">
      <c r="A574" s="71"/>
      <c r="B574" s="72"/>
      <c r="C574" s="72"/>
      <c r="E574" s="72"/>
      <c r="G574" s="71"/>
    </row>
    <row r="575" spans="1:7" ht="12.75" x14ac:dyDescent="0.2">
      <c r="A575" s="71"/>
      <c r="B575" s="72"/>
      <c r="C575" s="72"/>
      <c r="E575" s="72"/>
      <c r="G575" s="71"/>
    </row>
    <row r="576" spans="1:7" ht="12.75" x14ac:dyDescent="0.2">
      <c r="A576" s="71"/>
      <c r="B576" s="72"/>
      <c r="C576" s="72"/>
      <c r="E576" s="72"/>
      <c r="G576" s="71"/>
    </row>
    <row r="577" spans="1:7" ht="12.75" x14ac:dyDescent="0.2">
      <c r="A577" s="71"/>
      <c r="B577" s="72"/>
      <c r="C577" s="72"/>
      <c r="E577" s="72"/>
      <c r="G577" s="71"/>
    </row>
    <row r="578" spans="1:7" ht="12.75" x14ac:dyDescent="0.2">
      <c r="A578" s="71"/>
      <c r="B578" s="72"/>
      <c r="C578" s="72"/>
      <c r="E578" s="72"/>
      <c r="G578" s="71"/>
    </row>
    <row r="579" spans="1:7" ht="12.75" x14ac:dyDescent="0.2">
      <c r="A579" s="71"/>
      <c r="B579" s="72"/>
      <c r="C579" s="72"/>
      <c r="E579" s="72"/>
      <c r="G579" s="71"/>
    </row>
    <row r="580" spans="1:7" ht="12.75" x14ac:dyDescent="0.2">
      <c r="A580" s="71"/>
      <c r="B580" s="72"/>
      <c r="C580" s="72"/>
      <c r="E580" s="72"/>
      <c r="G580" s="71"/>
    </row>
    <row r="581" spans="1:7" ht="12.75" x14ac:dyDescent="0.2">
      <c r="A581" s="71"/>
      <c r="B581" s="72"/>
      <c r="C581" s="72"/>
      <c r="E581" s="72"/>
      <c r="G581" s="71"/>
    </row>
    <row r="582" spans="1:7" ht="12.75" x14ac:dyDescent="0.2">
      <c r="A582" s="71"/>
      <c r="B582" s="72"/>
      <c r="C582" s="72"/>
      <c r="E582" s="72"/>
      <c r="G582" s="71"/>
    </row>
    <row r="583" spans="1:7" ht="12.75" x14ac:dyDescent="0.2">
      <c r="A583" s="71"/>
      <c r="B583" s="72"/>
      <c r="C583" s="72"/>
      <c r="E583" s="72"/>
      <c r="G583" s="71"/>
    </row>
    <row r="584" spans="1:7" ht="12.75" x14ac:dyDescent="0.2">
      <c r="A584" s="71"/>
      <c r="B584" s="72"/>
      <c r="C584" s="72"/>
      <c r="E584" s="72"/>
      <c r="G584" s="71"/>
    </row>
    <row r="585" spans="1:7" ht="12.75" x14ac:dyDescent="0.2">
      <c r="A585" s="71"/>
      <c r="B585" s="72"/>
      <c r="C585" s="72"/>
      <c r="E585" s="72"/>
      <c r="G585" s="71"/>
    </row>
    <row r="586" spans="1:7" ht="12.75" x14ac:dyDescent="0.2">
      <c r="A586" s="71"/>
      <c r="B586" s="72"/>
      <c r="C586" s="72"/>
      <c r="E586" s="72"/>
      <c r="G586" s="71"/>
    </row>
    <row r="587" spans="1:7" ht="12.75" x14ac:dyDescent="0.2">
      <c r="A587" s="71"/>
      <c r="B587" s="72"/>
      <c r="C587" s="72"/>
      <c r="E587" s="72"/>
      <c r="G587" s="71"/>
    </row>
    <row r="588" spans="1:7" ht="12.75" x14ac:dyDescent="0.2">
      <c r="A588" s="71"/>
      <c r="B588" s="72"/>
      <c r="C588" s="72"/>
      <c r="E588" s="72"/>
      <c r="G588" s="71"/>
    </row>
    <row r="589" spans="1:7" ht="12.75" x14ac:dyDescent="0.2">
      <c r="A589" s="71"/>
      <c r="B589" s="72"/>
      <c r="C589" s="72"/>
      <c r="E589" s="72"/>
      <c r="G589" s="71"/>
    </row>
    <row r="590" spans="1:7" ht="12.75" x14ac:dyDescent="0.2">
      <c r="A590" s="71"/>
      <c r="B590" s="72"/>
      <c r="C590" s="72"/>
      <c r="E590" s="72"/>
      <c r="G590" s="71"/>
    </row>
    <row r="591" spans="1:7" ht="12.75" x14ac:dyDescent="0.2">
      <c r="A591" s="71"/>
      <c r="B591" s="72"/>
      <c r="C591" s="72"/>
      <c r="E591" s="72"/>
      <c r="G591" s="71"/>
    </row>
    <row r="592" spans="1:7" ht="12.75" x14ac:dyDescent="0.2">
      <c r="A592" s="71"/>
      <c r="B592" s="72"/>
      <c r="C592" s="72"/>
      <c r="E592" s="72"/>
      <c r="G592" s="71"/>
    </row>
    <row r="593" spans="1:7" ht="12.75" x14ac:dyDescent="0.2">
      <c r="A593" s="71"/>
      <c r="B593" s="72"/>
      <c r="C593" s="72"/>
      <c r="E593" s="72"/>
      <c r="G593" s="71"/>
    </row>
    <row r="594" spans="1:7" ht="12.75" x14ac:dyDescent="0.2">
      <c r="A594" s="71"/>
      <c r="B594" s="72"/>
      <c r="C594" s="72"/>
      <c r="E594" s="72"/>
      <c r="G594" s="71"/>
    </row>
    <row r="595" spans="1:7" ht="12.75" x14ac:dyDescent="0.2">
      <c r="A595" s="71"/>
      <c r="B595" s="72"/>
      <c r="C595" s="72"/>
      <c r="E595" s="72"/>
      <c r="G595" s="71"/>
    </row>
    <row r="596" spans="1:7" ht="12.75" x14ac:dyDescent="0.2">
      <c r="A596" s="71"/>
      <c r="B596" s="72"/>
      <c r="C596" s="72"/>
      <c r="E596" s="72"/>
      <c r="G596" s="71"/>
    </row>
    <row r="597" spans="1:7" ht="12.75" x14ac:dyDescent="0.2">
      <c r="A597" s="71"/>
      <c r="B597" s="72"/>
      <c r="C597" s="72"/>
      <c r="E597" s="72"/>
      <c r="G597" s="71"/>
    </row>
    <row r="598" spans="1:7" ht="12.75" x14ac:dyDescent="0.2">
      <c r="A598" s="71"/>
      <c r="B598" s="72"/>
      <c r="C598" s="72"/>
      <c r="E598" s="72"/>
      <c r="G598" s="71"/>
    </row>
    <row r="599" spans="1:7" ht="12.75" x14ac:dyDescent="0.2">
      <c r="A599" s="71"/>
      <c r="B599" s="72"/>
      <c r="C599" s="72"/>
      <c r="E599" s="72"/>
      <c r="G599" s="71"/>
    </row>
    <row r="600" spans="1:7" ht="12.75" x14ac:dyDescent="0.2">
      <c r="A600" s="71"/>
      <c r="B600" s="72"/>
      <c r="C600" s="72"/>
      <c r="E600" s="72"/>
      <c r="G600" s="71"/>
    </row>
    <row r="601" spans="1:7" ht="12.75" x14ac:dyDescent="0.2">
      <c r="A601" s="71"/>
      <c r="B601" s="72"/>
      <c r="C601" s="72"/>
      <c r="E601" s="72"/>
      <c r="G601" s="71"/>
    </row>
    <row r="602" spans="1:7" ht="12.75" x14ac:dyDescent="0.2">
      <c r="A602" s="71"/>
      <c r="B602" s="72"/>
      <c r="C602" s="72"/>
      <c r="E602" s="72"/>
      <c r="G602" s="71"/>
    </row>
    <row r="603" spans="1:7" ht="12.75" x14ac:dyDescent="0.2">
      <c r="A603" s="71"/>
      <c r="B603" s="72"/>
      <c r="C603" s="72"/>
      <c r="E603" s="72"/>
      <c r="G603" s="71"/>
    </row>
    <row r="604" spans="1:7" ht="12.75" x14ac:dyDescent="0.2">
      <c r="A604" s="71"/>
      <c r="B604" s="72"/>
      <c r="C604" s="72"/>
      <c r="E604" s="72"/>
      <c r="G604" s="71"/>
    </row>
    <row r="605" spans="1:7" ht="12.75" x14ac:dyDescent="0.2">
      <c r="A605" s="71"/>
      <c r="B605" s="72"/>
      <c r="C605" s="72"/>
      <c r="E605" s="72"/>
      <c r="G605" s="71"/>
    </row>
    <row r="606" spans="1:7" ht="12.75" x14ac:dyDescent="0.2">
      <c r="A606" s="71"/>
      <c r="B606" s="72"/>
      <c r="C606" s="72"/>
      <c r="E606" s="72"/>
      <c r="G606" s="71"/>
    </row>
    <row r="607" spans="1:7" ht="12.75" x14ac:dyDescent="0.2">
      <c r="A607" s="71"/>
      <c r="B607" s="72"/>
      <c r="C607" s="72"/>
      <c r="E607" s="72"/>
      <c r="G607" s="71"/>
    </row>
    <row r="608" spans="1:7" ht="12.75" x14ac:dyDescent="0.2">
      <c r="A608" s="71"/>
      <c r="B608" s="72"/>
      <c r="C608" s="72"/>
      <c r="E608" s="72"/>
      <c r="G608" s="71"/>
    </row>
    <row r="609" spans="1:7" ht="12.75" x14ac:dyDescent="0.2">
      <c r="A609" s="71"/>
      <c r="B609" s="72"/>
      <c r="C609" s="72"/>
      <c r="E609" s="72"/>
      <c r="G609" s="71"/>
    </row>
    <row r="610" spans="1:7" ht="12.75" x14ac:dyDescent="0.2">
      <c r="A610" s="71"/>
      <c r="B610" s="72"/>
      <c r="C610" s="72"/>
      <c r="E610" s="72"/>
      <c r="G610" s="71"/>
    </row>
    <row r="611" spans="1:7" ht="12.75" x14ac:dyDescent="0.2">
      <c r="A611" s="71"/>
      <c r="B611" s="72"/>
      <c r="C611" s="72"/>
      <c r="E611" s="72"/>
      <c r="G611" s="71"/>
    </row>
    <row r="612" spans="1:7" ht="12.75" x14ac:dyDescent="0.2">
      <c r="A612" s="71"/>
      <c r="B612" s="72"/>
      <c r="C612" s="72"/>
      <c r="E612" s="72"/>
      <c r="G612" s="71"/>
    </row>
    <row r="613" spans="1:7" ht="12.75" x14ac:dyDescent="0.2">
      <c r="A613" s="71"/>
      <c r="B613" s="72"/>
      <c r="C613" s="72"/>
      <c r="E613" s="72"/>
      <c r="G613" s="71"/>
    </row>
    <row r="614" spans="1:7" ht="12.75" x14ac:dyDescent="0.2">
      <c r="A614" s="71"/>
      <c r="B614" s="72"/>
      <c r="C614" s="72"/>
      <c r="E614" s="72"/>
      <c r="G614" s="71"/>
    </row>
    <row r="615" spans="1:7" ht="12.75" x14ac:dyDescent="0.2">
      <c r="A615" s="71"/>
      <c r="B615" s="72"/>
      <c r="C615" s="72"/>
      <c r="E615" s="72"/>
      <c r="G615" s="71"/>
    </row>
    <row r="616" spans="1:7" ht="12.75" x14ac:dyDescent="0.2">
      <c r="A616" s="71"/>
      <c r="B616" s="72"/>
      <c r="C616" s="72"/>
      <c r="E616" s="72"/>
      <c r="G616" s="71"/>
    </row>
    <row r="617" spans="1:7" ht="12.75" x14ac:dyDescent="0.2">
      <c r="A617" s="71"/>
      <c r="B617" s="72"/>
      <c r="C617" s="72"/>
      <c r="E617" s="72"/>
      <c r="G617" s="71"/>
    </row>
    <row r="618" spans="1:7" ht="12.75" x14ac:dyDescent="0.2">
      <c r="A618" s="71"/>
      <c r="B618" s="72"/>
      <c r="C618" s="72"/>
      <c r="E618" s="72"/>
      <c r="G618" s="71"/>
    </row>
    <row r="619" spans="1:7" ht="12.75" x14ac:dyDescent="0.2">
      <c r="A619" s="71"/>
      <c r="B619" s="72"/>
      <c r="C619" s="72"/>
      <c r="E619" s="72"/>
      <c r="G619" s="71"/>
    </row>
    <row r="620" spans="1:7" ht="12.75" x14ac:dyDescent="0.2">
      <c r="A620" s="71"/>
      <c r="B620" s="72"/>
      <c r="C620" s="72"/>
      <c r="E620" s="72"/>
      <c r="G620" s="71"/>
    </row>
    <row r="621" spans="1:7" ht="12.75" x14ac:dyDescent="0.2">
      <c r="A621" s="71"/>
      <c r="B621" s="72"/>
      <c r="C621" s="72"/>
      <c r="E621" s="72"/>
      <c r="G621" s="71"/>
    </row>
    <row r="622" spans="1:7" ht="12.75" x14ac:dyDescent="0.2">
      <c r="A622" s="71"/>
      <c r="B622" s="72"/>
      <c r="C622" s="72"/>
      <c r="E622" s="72"/>
      <c r="G622" s="71"/>
    </row>
    <row r="623" spans="1:7" ht="12.75" x14ac:dyDescent="0.2">
      <c r="A623" s="71"/>
      <c r="B623" s="72"/>
      <c r="C623" s="72"/>
      <c r="E623" s="72"/>
      <c r="G623" s="71"/>
    </row>
    <row r="624" spans="1:7" ht="12.75" x14ac:dyDescent="0.2">
      <c r="A624" s="71"/>
      <c r="B624" s="72"/>
      <c r="C624" s="72"/>
      <c r="E624" s="72"/>
      <c r="G624" s="71"/>
    </row>
    <row r="625" spans="1:7" ht="12.75" x14ac:dyDescent="0.2">
      <c r="A625" s="71"/>
      <c r="B625" s="72"/>
      <c r="C625" s="72"/>
      <c r="E625" s="72"/>
      <c r="G625" s="71"/>
    </row>
    <row r="626" spans="1:7" ht="12.75" x14ac:dyDescent="0.2">
      <c r="A626" s="71"/>
      <c r="B626" s="72"/>
      <c r="C626" s="72"/>
      <c r="E626" s="72"/>
      <c r="G626" s="71"/>
    </row>
    <row r="627" spans="1:7" ht="12.75" x14ac:dyDescent="0.2">
      <c r="A627" s="71"/>
      <c r="B627" s="72"/>
      <c r="C627" s="72"/>
      <c r="E627" s="72"/>
      <c r="G627" s="71"/>
    </row>
    <row r="628" spans="1:7" ht="12.75" x14ac:dyDescent="0.2">
      <c r="A628" s="71"/>
      <c r="B628" s="72"/>
      <c r="C628" s="72"/>
      <c r="E628" s="72"/>
      <c r="G628" s="71"/>
    </row>
    <row r="629" spans="1:7" ht="12.75" x14ac:dyDescent="0.2">
      <c r="A629" s="71"/>
      <c r="B629" s="72"/>
      <c r="C629" s="72"/>
      <c r="E629" s="72"/>
      <c r="G629" s="71"/>
    </row>
    <row r="630" spans="1:7" ht="12.75" x14ac:dyDescent="0.2">
      <c r="A630" s="71"/>
      <c r="B630" s="72"/>
      <c r="C630" s="72"/>
      <c r="E630" s="72"/>
      <c r="G630" s="71"/>
    </row>
    <row r="631" spans="1:7" ht="12.75" x14ac:dyDescent="0.2">
      <c r="A631" s="71"/>
      <c r="B631" s="72"/>
      <c r="C631" s="72"/>
      <c r="E631" s="72"/>
      <c r="G631" s="71"/>
    </row>
    <row r="632" spans="1:7" ht="12.75" x14ac:dyDescent="0.2">
      <c r="A632" s="71"/>
      <c r="B632" s="72"/>
      <c r="C632" s="72"/>
      <c r="E632" s="72"/>
      <c r="G632" s="71"/>
    </row>
    <row r="633" spans="1:7" ht="12.75" x14ac:dyDescent="0.2">
      <c r="A633" s="71"/>
      <c r="B633" s="72"/>
      <c r="C633" s="72"/>
      <c r="E633" s="72"/>
      <c r="G633" s="71"/>
    </row>
    <row r="634" spans="1:7" ht="12.75" x14ac:dyDescent="0.2">
      <c r="A634" s="71"/>
      <c r="B634" s="72"/>
      <c r="C634" s="72"/>
      <c r="E634" s="72"/>
      <c r="G634" s="71"/>
    </row>
    <row r="635" spans="1:7" ht="12.75" x14ac:dyDescent="0.2">
      <c r="A635" s="71"/>
      <c r="B635" s="72"/>
      <c r="C635" s="72"/>
      <c r="E635" s="72"/>
      <c r="G635" s="71"/>
    </row>
    <row r="636" spans="1:7" ht="12.75" x14ac:dyDescent="0.2">
      <c r="A636" s="71"/>
      <c r="B636" s="72"/>
      <c r="C636" s="72"/>
      <c r="E636" s="72"/>
      <c r="G636" s="71"/>
    </row>
    <row r="637" spans="1:7" ht="12.75" x14ac:dyDescent="0.2">
      <c r="A637" s="71"/>
      <c r="B637" s="72"/>
      <c r="C637" s="72"/>
      <c r="E637" s="72"/>
      <c r="G637" s="71"/>
    </row>
    <row r="638" spans="1:7" ht="12.75" x14ac:dyDescent="0.2">
      <c r="A638" s="71"/>
      <c r="B638" s="72"/>
      <c r="C638" s="72"/>
      <c r="E638" s="72"/>
      <c r="G638" s="71"/>
    </row>
    <row r="639" spans="1:7" ht="12.75" x14ac:dyDescent="0.2">
      <c r="A639" s="71"/>
      <c r="B639" s="72"/>
      <c r="C639" s="72"/>
      <c r="E639" s="72"/>
      <c r="G639" s="71"/>
    </row>
    <row r="640" spans="1:7" ht="12.75" x14ac:dyDescent="0.2">
      <c r="A640" s="71"/>
      <c r="B640" s="72"/>
      <c r="C640" s="72"/>
      <c r="E640" s="72"/>
      <c r="G640" s="71"/>
    </row>
    <row r="641" spans="1:7" ht="12.75" x14ac:dyDescent="0.2">
      <c r="A641" s="71"/>
      <c r="B641" s="72"/>
      <c r="C641" s="72"/>
      <c r="E641" s="72"/>
      <c r="G641" s="71"/>
    </row>
    <row r="642" spans="1:7" ht="12.75" x14ac:dyDescent="0.2">
      <c r="A642" s="71"/>
      <c r="B642" s="72"/>
      <c r="C642" s="72"/>
      <c r="E642" s="72"/>
      <c r="G642" s="71"/>
    </row>
    <row r="643" spans="1:7" ht="12.75" x14ac:dyDescent="0.2">
      <c r="A643" s="71"/>
      <c r="B643" s="72"/>
      <c r="C643" s="72"/>
      <c r="E643" s="72"/>
      <c r="G643" s="71"/>
    </row>
    <row r="644" spans="1:7" ht="12.75" x14ac:dyDescent="0.2">
      <c r="A644" s="71"/>
      <c r="B644" s="72"/>
      <c r="C644" s="72"/>
      <c r="E644" s="72"/>
      <c r="G644" s="71"/>
    </row>
    <row r="645" spans="1:7" ht="12.75" x14ac:dyDescent="0.2">
      <c r="A645" s="71"/>
      <c r="B645" s="72"/>
      <c r="C645" s="72"/>
      <c r="E645" s="72"/>
      <c r="G645" s="71"/>
    </row>
    <row r="646" spans="1:7" ht="12.75" x14ac:dyDescent="0.2">
      <c r="A646" s="71"/>
      <c r="B646" s="72"/>
      <c r="C646" s="72"/>
      <c r="E646" s="72"/>
      <c r="G646" s="71"/>
    </row>
    <row r="647" spans="1:7" ht="12.75" x14ac:dyDescent="0.2">
      <c r="A647" s="71"/>
      <c r="B647" s="72"/>
      <c r="C647" s="72"/>
      <c r="E647" s="72"/>
      <c r="G647" s="71"/>
    </row>
    <row r="648" spans="1:7" ht="12.75" x14ac:dyDescent="0.2">
      <c r="A648" s="71"/>
      <c r="B648" s="72"/>
      <c r="C648" s="72"/>
      <c r="E648" s="72"/>
      <c r="G648" s="71"/>
    </row>
    <row r="649" spans="1:7" ht="12.75" x14ac:dyDescent="0.2">
      <c r="A649" s="71"/>
      <c r="B649" s="72"/>
      <c r="C649" s="72"/>
      <c r="E649" s="72"/>
      <c r="G649" s="71"/>
    </row>
    <row r="650" spans="1:7" ht="12.75" x14ac:dyDescent="0.2">
      <c r="A650" s="71"/>
      <c r="B650" s="72"/>
      <c r="C650" s="72"/>
      <c r="E650" s="72"/>
      <c r="G650" s="71"/>
    </row>
    <row r="651" spans="1:7" ht="12.75" x14ac:dyDescent="0.2">
      <c r="A651" s="71"/>
      <c r="B651" s="72"/>
      <c r="C651" s="72"/>
      <c r="E651" s="72"/>
      <c r="G651" s="71"/>
    </row>
    <row r="652" spans="1:7" ht="12.75" x14ac:dyDescent="0.2">
      <c r="A652" s="71"/>
      <c r="B652" s="72"/>
      <c r="C652" s="72"/>
      <c r="E652" s="72"/>
      <c r="G652" s="71"/>
    </row>
    <row r="653" spans="1:7" ht="12.75" x14ac:dyDescent="0.2">
      <c r="A653" s="71"/>
      <c r="B653" s="72"/>
      <c r="C653" s="72"/>
      <c r="E653" s="72"/>
      <c r="G653" s="71"/>
    </row>
    <row r="654" spans="1:7" ht="12.75" x14ac:dyDescent="0.2">
      <c r="A654" s="71"/>
      <c r="B654" s="72"/>
      <c r="C654" s="72"/>
      <c r="E654" s="72"/>
      <c r="G654" s="71"/>
    </row>
    <row r="655" spans="1:7" ht="12.75" x14ac:dyDescent="0.2">
      <c r="A655" s="71"/>
      <c r="B655" s="72"/>
      <c r="C655" s="72"/>
      <c r="E655" s="72"/>
      <c r="G655" s="71"/>
    </row>
    <row r="656" spans="1:7" ht="12.75" x14ac:dyDescent="0.2">
      <c r="A656" s="71"/>
      <c r="B656" s="72"/>
      <c r="C656" s="72"/>
      <c r="E656" s="72"/>
      <c r="G656" s="71"/>
    </row>
    <row r="657" spans="1:7" ht="12.75" x14ac:dyDescent="0.2">
      <c r="A657" s="71"/>
      <c r="B657" s="72"/>
      <c r="C657" s="72"/>
      <c r="E657" s="72"/>
      <c r="G657" s="71"/>
    </row>
    <row r="658" spans="1:7" ht="12.75" x14ac:dyDescent="0.2">
      <c r="A658" s="71"/>
      <c r="B658" s="72"/>
      <c r="C658" s="72"/>
      <c r="E658" s="72"/>
      <c r="G658" s="71"/>
    </row>
    <row r="659" spans="1:7" ht="12.75" x14ac:dyDescent="0.2">
      <c r="A659" s="71"/>
      <c r="B659" s="72"/>
      <c r="C659" s="72"/>
      <c r="E659" s="72"/>
      <c r="G659" s="71"/>
    </row>
    <row r="660" spans="1:7" ht="12.75" x14ac:dyDescent="0.2">
      <c r="A660" s="71"/>
      <c r="B660" s="72"/>
      <c r="C660" s="72"/>
      <c r="E660" s="72"/>
      <c r="G660" s="71"/>
    </row>
    <row r="661" spans="1:7" ht="12.75" x14ac:dyDescent="0.2">
      <c r="A661" s="71"/>
      <c r="B661" s="72"/>
      <c r="C661" s="72"/>
      <c r="E661" s="72"/>
      <c r="G661" s="71"/>
    </row>
    <row r="662" spans="1:7" ht="12.75" x14ac:dyDescent="0.2">
      <c r="A662" s="71"/>
      <c r="B662" s="72"/>
      <c r="C662" s="72"/>
      <c r="E662" s="72"/>
      <c r="G662" s="71"/>
    </row>
    <row r="663" spans="1:7" ht="12.75" x14ac:dyDescent="0.2">
      <c r="A663" s="71"/>
      <c r="B663" s="72"/>
      <c r="C663" s="72"/>
      <c r="E663" s="72"/>
      <c r="G663" s="71"/>
    </row>
    <row r="664" spans="1:7" ht="12.75" x14ac:dyDescent="0.2">
      <c r="A664" s="71"/>
      <c r="B664" s="72"/>
      <c r="C664" s="72"/>
      <c r="E664" s="72"/>
      <c r="G664" s="71"/>
    </row>
    <row r="665" spans="1:7" ht="12.75" x14ac:dyDescent="0.2">
      <c r="A665" s="71"/>
      <c r="B665" s="72"/>
      <c r="C665" s="72"/>
      <c r="E665" s="72"/>
      <c r="G665" s="71"/>
    </row>
    <row r="666" spans="1:7" ht="12.75" x14ac:dyDescent="0.2">
      <c r="A666" s="71"/>
      <c r="B666" s="72"/>
      <c r="C666" s="72"/>
      <c r="E666" s="72"/>
      <c r="G666" s="71"/>
    </row>
    <row r="667" spans="1:7" ht="12.75" x14ac:dyDescent="0.2">
      <c r="A667" s="71"/>
      <c r="B667" s="72"/>
      <c r="C667" s="72"/>
      <c r="E667" s="72"/>
      <c r="G667" s="71"/>
    </row>
    <row r="668" spans="1:7" ht="12.75" x14ac:dyDescent="0.2">
      <c r="A668" s="71"/>
      <c r="B668" s="72"/>
      <c r="C668" s="72"/>
      <c r="E668" s="72"/>
      <c r="G668" s="71"/>
    </row>
    <row r="669" spans="1:7" ht="12.75" x14ac:dyDescent="0.2">
      <c r="A669" s="71"/>
      <c r="B669" s="72"/>
      <c r="C669" s="72"/>
      <c r="E669" s="72"/>
      <c r="G669" s="71"/>
    </row>
    <row r="670" spans="1:7" ht="12.75" x14ac:dyDescent="0.2">
      <c r="A670" s="71"/>
      <c r="B670" s="72"/>
      <c r="C670" s="72"/>
      <c r="E670" s="72"/>
      <c r="G670" s="71"/>
    </row>
    <row r="671" spans="1:7" ht="12.75" x14ac:dyDescent="0.2">
      <c r="A671" s="71"/>
      <c r="B671" s="72"/>
      <c r="C671" s="72"/>
      <c r="E671" s="72"/>
      <c r="G671" s="71"/>
    </row>
    <row r="672" spans="1:7" ht="12.75" x14ac:dyDescent="0.2">
      <c r="A672" s="71"/>
      <c r="B672" s="72"/>
      <c r="C672" s="72"/>
      <c r="E672" s="72"/>
      <c r="G672" s="71"/>
    </row>
    <row r="673" spans="1:7" ht="12.75" x14ac:dyDescent="0.2">
      <c r="A673" s="71"/>
      <c r="B673" s="72"/>
      <c r="C673" s="72"/>
      <c r="E673" s="72"/>
      <c r="G673" s="71"/>
    </row>
    <row r="674" spans="1:7" ht="12.75" x14ac:dyDescent="0.2">
      <c r="A674" s="71"/>
      <c r="B674" s="72"/>
      <c r="C674" s="72"/>
      <c r="E674" s="72"/>
      <c r="G674" s="71"/>
    </row>
    <row r="675" spans="1:7" ht="12.75" x14ac:dyDescent="0.2">
      <c r="A675" s="71"/>
      <c r="B675" s="72"/>
      <c r="C675" s="72"/>
      <c r="E675" s="72"/>
      <c r="G675" s="71"/>
    </row>
    <row r="676" spans="1:7" ht="12.75" x14ac:dyDescent="0.2">
      <c r="A676" s="71"/>
      <c r="B676" s="72"/>
      <c r="C676" s="72"/>
      <c r="E676" s="72"/>
      <c r="G676" s="71"/>
    </row>
    <row r="677" spans="1:7" ht="12.75" x14ac:dyDescent="0.2">
      <c r="A677" s="71"/>
      <c r="B677" s="72"/>
      <c r="C677" s="72"/>
      <c r="E677" s="72"/>
      <c r="G677" s="71"/>
    </row>
    <row r="678" spans="1:7" ht="12.75" x14ac:dyDescent="0.2">
      <c r="A678" s="71"/>
      <c r="B678" s="72"/>
      <c r="C678" s="72"/>
      <c r="E678" s="72"/>
      <c r="G678" s="71"/>
    </row>
    <row r="679" spans="1:7" ht="12.75" x14ac:dyDescent="0.2">
      <c r="A679" s="71"/>
      <c r="B679" s="72"/>
      <c r="C679" s="72"/>
      <c r="E679" s="72"/>
      <c r="G679" s="71"/>
    </row>
    <row r="680" spans="1:7" ht="12.75" x14ac:dyDescent="0.2">
      <c r="A680" s="71"/>
      <c r="B680" s="72"/>
      <c r="C680" s="72"/>
      <c r="E680" s="72"/>
      <c r="G680" s="71"/>
    </row>
    <row r="681" spans="1:7" ht="12.75" x14ac:dyDescent="0.2">
      <c r="A681" s="71"/>
      <c r="B681" s="72"/>
      <c r="C681" s="72"/>
      <c r="E681" s="72"/>
      <c r="G681" s="71"/>
    </row>
    <row r="682" spans="1:7" ht="12.75" x14ac:dyDescent="0.2">
      <c r="A682" s="71"/>
      <c r="B682" s="72"/>
      <c r="C682" s="72"/>
      <c r="E682" s="72"/>
      <c r="G682" s="71"/>
    </row>
    <row r="683" spans="1:7" ht="12.75" x14ac:dyDescent="0.2">
      <c r="A683" s="71"/>
      <c r="B683" s="72"/>
      <c r="C683" s="72"/>
      <c r="E683" s="72"/>
      <c r="G683" s="71"/>
    </row>
    <row r="684" spans="1:7" ht="12.75" x14ac:dyDescent="0.2">
      <c r="A684" s="71"/>
      <c r="B684" s="72"/>
      <c r="C684" s="72"/>
      <c r="E684" s="72"/>
      <c r="G684" s="71"/>
    </row>
    <row r="685" spans="1:7" ht="12.75" x14ac:dyDescent="0.2">
      <c r="A685" s="71"/>
      <c r="B685" s="72"/>
      <c r="C685" s="72"/>
      <c r="E685" s="72"/>
      <c r="G685" s="71"/>
    </row>
    <row r="686" spans="1:7" ht="12.75" x14ac:dyDescent="0.2">
      <c r="A686" s="71"/>
      <c r="B686" s="72"/>
      <c r="C686" s="72"/>
      <c r="E686" s="72"/>
      <c r="G686" s="71"/>
    </row>
    <row r="687" spans="1:7" ht="12.75" x14ac:dyDescent="0.2">
      <c r="A687" s="71"/>
      <c r="B687" s="72"/>
      <c r="C687" s="72"/>
      <c r="E687" s="72"/>
      <c r="G687" s="71"/>
    </row>
    <row r="688" spans="1:7" ht="12.75" x14ac:dyDescent="0.2">
      <c r="A688" s="71"/>
      <c r="B688" s="72"/>
      <c r="C688" s="72"/>
      <c r="E688" s="72"/>
      <c r="G688" s="71"/>
    </row>
    <row r="689" spans="1:7" ht="12.75" x14ac:dyDescent="0.2">
      <c r="A689" s="71"/>
      <c r="B689" s="72"/>
      <c r="C689" s="72"/>
      <c r="E689" s="72"/>
      <c r="G689" s="71"/>
    </row>
    <row r="690" spans="1:7" ht="12.75" x14ac:dyDescent="0.2">
      <c r="A690" s="71"/>
      <c r="B690" s="72"/>
      <c r="C690" s="72"/>
      <c r="E690" s="72"/>
      <c r="G690" s="71"/>
    </row>
    <row r="691" spans="1:7" ht="12.75" x14ac:dyDescent="0.2">
      <c r="A691" s="71"/>
      <c r="B691" s="72"/>
      <c r="C691" s="72"/>
      <c r="E691" s="72"/>
      <c r="G691" s="71"/>
    </row>
    <row r="692" spans="1:7" ht="12.75" x14ac:dyDescent="0.2">
      <c r="A692" s="71"/>
      <c r="B692" s="72"/>
      <c r="C692" s="72"/>
      <c r="E692" s="72"/>
      <c r="G692" s="71"/>
    </row>
    <row r="693" spans="1:7" ht="12.75" x14ac:dyDescent="0.2">
      <c r="A693" s="71"/>
      <c r="B693" s="72"/>
      <c r="C693" s="72"/>
      <c r="E693" s="72"/>
      <c r="G693" s="71"/>
    </row>
    <row r="694" spans="1:7" ht="12.75" x14ac:dyDescent="0.2">
      <c r="A694" s="71"/>
      <c r="B694" s="72"/>
      <c r="C694" s="72"/>
      <c r="E694" s="72"/>
      <c r="G694" s="71"/>
    </row>
    <row r="695" spans="1:7" ht="12.75" x14ac:dyDescent="0.2">
      <c r="A695" s="71"/>
      <c r="B695" s="72"/>
      <c r="C695" s="72"/>
      <c r="E695" s="72"/>
      <c r="G695" s="71"/>
    </row>
    <row r="696" spans="1:7" ht="12.75" x14ac:dyDescent="0.2">
      <c r="A696" s="71"/>
      <c r="B696" s="72"/>
      <c r="C696" s="72"/>
      <c r="E696" s="72"/>
      <c r="G696" s="71"/>
    </row>
    <row r="697" spans="1:7" ht="12.75" x14ac:dyDescent="0.2">
      <c r="A697" s="71"/>
      <c r="B697" s="72"/>
      <c r="C697" s="72"/>
      <c r="E697" s="72"/>
      <c r="G697" s="71"/>
    </row>
    <row r="698" spans="1:7" ht="12.75" x14ac:dyDescent="0.2">
      <c r="A698" s="71"/>
      <c r="B698" s="72"/>
      <c r="C698" s="72"/>
      <c r="E698" s="72"/>
      <c r="G698" s="71"/>
    </row>
    <row r="699" spans="1:7" ht="12.75" x14ac:dyDescent="0.2">
      <c r="A699" s="71"/>
      <c r="B699" s="72"/>
      <c r="C699" s="72"/>
      <c r="E699" s="72"/>
      <c r="G699" s="71"/>
    </row>
    <row r="700" spans="1:7" ht="12.75" x14ac:dyDescent="0.2">
      <c r="A700" s="71"/>
      <c r="B700" s="72"/>
      <c r="C700" s="72"/>
      <c r="E700" s="72"/>
      <c r="G700" s="71"/>
    </row>
    <row r="701" spans="1:7" ht="12.75" x14ac:dyDescent="0.2">
      <c r="A701" s="71"/>
      <c r="B701" s="72"/>
      <c r="C701" s="72"/>
      <c r="E701" s="72"/>
      <c r="G701" s="71"/>
    </row>
    <row r="702" spans="1:7" ht="12.75" x14ac:dyDescent="0.2">
      <c r="A702" s="71"/>
      <c r="B702" s="72"/>
      <c r="C702" s="72"/>
      <c r="E702" s="72"/>
      <c r="G702" s="71"/>
    </row>
    <row r="703" spans="1:7" ht="12.75" x14ac:dyDescent="0.2">
      <c r="A703" s="71"/>
      <c r="B703" s="72"/>
      <c r="C703" s="72"/>
      <c r="E703" s="72"/>
      <c r="G703" s="71"/>
    </row>
    <row r="704" spans="1:7" ht="12.75" x14ac:dyDescent="0.2">
      <c r="A704" s="71"/>
      <c r="B704" s="72"/>
      <c r="C704" s="72"/>
      <c r="E704" s="72"/>
      <c r="G704" s="71"/>
    </row>
    <row r="705" spans="1:7" ht="12.75" x14ac:dyDescent="0.2">
      <c r="A705" s="71"/>
      <c r="B705" s="72"/>
      <c r="C705" s="72"/>
      <c r="E705" s="72"/>
      <c r="G705" s="71"/>
    </row>
    <row r="706" spans="1:7" ht="12.75" x14ac:dyDescent="0.2">
      <c r="A706" s="71"/>
      <c r="B706" s="72"/>
      <c r="C706" s="72"/>
      <c r="E706" s="72"/>
      <c r="G706" s="71"/>
    </row>
    <row r="707" spans="1:7" ht="12.75" x14ac:dyDescent="0.2">
      <c r="A707" s="71"/>
      <c r="B707" s="72"/>
      <c r="C707" s="72"/>
      <c r="E707" s="72"/>
      <c r="G707" s="71"/>
    </row>
    <row r="708" spans="1:7" ht="12.75" x14ac:dyDescent="0.2">
      <c r="A708" s="71"/>
      <c r="B708" s="72"/>
      <c r="C708" s="72"/>
      <c r="E708" s="72"/>
      <c r="G708" s="71"/>
    </row>
    <row r="709" spans="1:7" ht="12.75" x14ac:dyDescent="0.2">
      <c r="A709" s="71"/>
      <c r="B709" s="72"/>
      <c r="C709" s="72"/>
      <c r="E709" s="72"/>
      <c r="G709" s="71"/>
    </row>
    <row r="710" spans="1:7" ht="12.75" x14ac:dyDescent="0.2">
      <c r="A710" s="71"/>
      <c r="B710" s="72"/>
      <c r="C710" s="72"/>
      <c r="E710" s="72"/>
      <c r="G710" s="71"/>
    </row>
    <row r="711" spans="1:7" ht="12.75" x14ac:dyDescent="0.2">
      <c r="A711" s="71"/>
      <c r="B711" s="72"/>
      <c r="C711" s="72"/>
      <c r="E711" s="72"/>
      <c r="G711" s="71"/>
    </row>
    <row r="712" spans="1:7" ht="12.75" x14ac:dyDescent="0.2">
      <c r="A712" s="71"/>
      <c r="B712" s="72"/>
      <c r="C712" s="72"/>
      <c r="E712" s="72"/>
      <c r="G712" s="71"/>
    </row>
    <row r="713" spans="1:7" ht="12.75" x14ac:dyDescent="0.2">
      <c r="A713" s="71"/>
      <c r="B713" s="72"/>
      <c r="C713" s="72"/>
      <c r="E713" s="72"/>
      <c r="G713" s="71"/>
    </row>
    <row r="714" spans="1:7" ht="12.75" x14ac:dyDescent="0.2">
      <c r="A714" s="71"/>
      <c r="B714" s="72"/>
      <c r="C714" s="72"/>
      <c r="E714" s="72"/>
      <c r="G714" s="71"/>
    </row>
    <row r="715" spans="1:7" ht="12.75" x14ac:dyDescent="0.2">
      <c r="A715" s="71"/>
      <c r="B715" s="72"/>
      <c r="C715" s="72"/>
      <c r="E715" s="72"/>
      <c r="G715" s="71"/>
    </row>
    <row r="716" spans="1:7" ht="12.75" x14ac:dyDescent="0.2">
      <c r="A716" s="71"/>
      <c r="B716" s="72"/>
      <c r="C716" s="72"/>
      <c r="E716" s="72"/>
      <c r="G716" s="71"/>
    </row>
    <row r="717" spans="1:7" ht="12.75" x14ac:dyDescent="0.2">
      <c r="A717" s="71"/>
      <c r="B717" s="72"/>
      <c r="C717" s="72"/>
      <c r="E717" s="72"/>
      <c r="G717" s="71"/>
    </row>
    <row r="718" spans="1:7" ht="12.75" x14ac:dyDescent="0.2">
      <c r="A718" s="71"/>
      <c r="B718" s="72"/>
      <c r="C718" s="72"/>
      <c r="E718" s="72"/>
      <c r="G718" s="71"/>
    </row>
    <row r="719" spans="1:7" ht="12.75" x14ac:dyDescent="0.2">
      <c r="A719" s="71"/>
      <c r="B719" s="72"/>
      <c r="C719" s="72"/>
      <c r="E719" s="72"/>
      <c r="G719" s="71"/>
    </row>
    <row r="720" spans="1:7" ht="12.75" x14ac:dyDescent="0.2">
      <c r="A720" s="71"/>
      <c r="B720" s="72"/>
      <c r="C720" s="72"/>
      <c r="E720" s="72"/>
      <c r="G720" s="71"/>
    </row>
    <row r="721" spans="1:7" ht="12.75" x14ac:dyDescent="0.2">
      <c r="A721" s="71"/>
      <c r="B721" s="72"/>
      <c r="C721" s="72"/>
      <c r="E721" s="72"/>
      <c r="G721" s="71"/>
    </row>
    <row r="722" spans="1:7" ht="12.75" x14ac:dyDescent="0.2">
      <c r="A722" s="71"/>
      <c r="B722" s="72"/>
      <c r="C722" s="72"/>
      <c r="E722" s="72"/>
      <c r="G722" s="71"/>
    </row>
    <row r="723" spans="1:7" ht="12.75" x14ac:dyDescent="0.2">
      <c r="A723" s="71"/>
      <c r="B723" s="72"/>
      <c r="C723" s="72"/>
      <c r="E723" s="72"/>
      <c r="G723" s="71"/>
    </row>
    <row r="724" spans="1:7" ht="12.75" x14ac:dyDescent="0.2">
      <c r="A724" s="71"/>
      <c r="B724" s="72"/>
      <c r="C724" s="72"/>
      <c r="E724" s="72"/>
      <c r="G724" s="71"/>
    </row>
    <row r="725" spans="1:7" ht="12.75" x14ac:dyDescent="0.2">
      <c r="A725" s="71"/>
      <c r="B725" s="72"/>
      <c r="C725" s="72"/>
      <c r="E725" s="72"/>
      <c r="G725" s="71"/>
    </row>
    <row r="726" spans="1:7" ht="12.75" x14ac:dyDescent="0.2">
      <c r="A726" s="71"/>
      <c r="B726" s="72"/>
      <c r="C726" s="72"/>
      <c r="E726" s="72"/>
      <c r="G726" s="71"/>
    </row>
    <row r="727" spans="1:7" ht="12.75" x14ac:dyDescent="0.2">
      <c r="A727" s="71"/>
      <c r="B727" s="72"/>
      <c r="C727" s="72"/>
      <c r="E727" s="72"/>
      <c r="G727" s="71"/>
    </row>
    <row r="728" spans="1:7" ht="12.75" x14ac:dyDescent="0.2">
      <c r="A728" s="71"/>
      <c r="B728" s="72"/>
      <c r="C728" s="72"/>
      <c r="E728" s="72"/>
      <c r="G728" s="71"/>
    </row>
    <row r="729" spans="1:7" ht="12.75" x14ac:dyDescent="0.2">
      <c r="A729" s="71"/>
      <c r="B729" s="72"/>
      <c r="C729" s="72"/>
      <c r="E729" s="72"/>
      <c r="G729" s="71"/>
    </row>
    <row r="730" spans="1:7" ht="12.75" x14ac:dyDescent="0.2">
      <c r="A730" s="71"/>
      <c r="B730" s="72"/>
      <c r="C730" s="72"/>
      <c r="E730" s="72"/>
      <c r="G730" s="71"/>
    </row>
    <row r="731" spans="1:7" ht="12.75" x14ac:dyDescent="0.2">
      <c r="A731" s="71"/>
      <c r="B731" s="72"/>
      <c r="C731" s="72"/>
      <c r="E731" s="72"/>
      <c r="G731" s="71"/>
    </row>
    <row r="732" spans="1:7" ht="12.75" x14ac:dyDescent="0.2">
      <c r="A732" s="71"/>
      <c r="B732" s="72"/>
      <c r="C732" s="72"/>
      <c r="E732" s="72"/>
      <c r="G732" s="71"/>
    </row>
    <row r="733" spans="1:7" ht="12.75" x14ac:dyDescent="0.2">
      <c r="A733" s="71"/>
      <c r="B733" s="72"/>
      <c r="C733" s="72"/>
      <c r="E733" s="72"/>
      <c r="G733" s="71"/>
    </row>
    <row r="734" spans="1:7" ht="12.75" x14ac:dyDescent="0.2">
      <c r="A734" s="71"/>
      <c r="B734" s="72"/>
      <c r="C734" s="72"/>
      <c r="E734" s="72"/>
      <c r="G734" s="71"/>
    </row>
    <row r="735" spans="1:7" ht="12.75" x14ac:dyDescent="0.2">
      <c r="A735" s="71"/>
      <c r="B735" s="72"/>
      <c r="C735" s="72"/>
      <c r="E735" s="72"/>
      <c r="G735" s="71"/>
    </row>
    <row r="736" spans="1:7" ht="12.75" x14ac:dyDescent="0.2">
      <c r="A736" s="71"/>
      <c r="B736" s="72"/>
      <c r="C736" s="72"/>
      <c r="E736" s="72"/>
      <c r="G736" s="71"/>
    </row>
    <row r="737" spans="1:7" ht="12.75" x14ac:dyDescent="0.2">
      <c r="A737" s="71"/>
      <c r="B737" s="72"/>
      <c r="C737" s="72"/>
      <c r="E737" s="72"/>
      <c r="G737" s="71"/>
    </row>
    <row r="738" spans="1:7" ht="12.75" x14ac:dyDescent="0.2">
      <c r="A738" s="71"/>
      <c r="B738" s="72"/>
      <c r="C738" s="72"/>
      <c r="E738" s="72"/>
      <c r="G738" s="71"/>
    </row>
    <row r="739" spans="1:7" ht="12.75" x14ac:dyDescent="0.2">
      <c r="A739" s="71"/>
      <c r="B739" s="72"/>
      <c r="C739" s="72"/>
      <c r="E739" s="72"/>
      <c r="G739" s="71"/>
    </row>
    <row r="740" spans="1:7" ht="12.75" x14ac:dyDescent="0.2">
      <c r="A740" s="71"/>
      <c r="B740" s="72"/>
      <c r="C740" s="72"/>
      <c r="E740" s="72"/>
      <c r="G740" s="71"/>
    </row>
    <row r="741" spans="1:7" ht="12.75" x14ac:dyDescent="0.2">
      <c r="A741" s="71"/>
      <c r="B741" s="72"/>
      <c r="C741" s="72"/>
      <c r="E741" s="72"/>
      <c r="G741" s="71"/>
    </row>
    <row r="742" spans="1:7" ht="12.75" x14ac:dyDescent="0.2">
      <c r="A742" s="71"/>
      <c r="B742" s="72"/>
      <c r="C742" s="72"/>
      <c r="E742" s="72"/>
      <c r="G742" s="71"/>
    </row>
    <row r="743" spans="1:7" ht="12.75" x14ac:dyDescent="0.2">
      <c r="A743" s="71"/>
      <c r="B743" s="72"/>
      <c r="C743" s="72"/>
      <c r="E743" s="72"/>
      <c r="G743" s="71"/>
    </row>
    <row r="744" spans="1:7" ht="12.75" x14ac:dyDescent="0.2">
      <c r="A744" s="71"/>
      <c r="B744" s="72"/>
      <c r="C744" s="72"/>
      <c r="E744" s="72"/>
      <c r="G744" s="71"/>
    </row>
    <row r="745" spans="1:7" ht="12.75" x14ac:dyDescent="0.2">
      <c r="A745" s="71"/>
      <c r="B745" s="72"/>
      <c r="C745" s="72"/>
      <c r="E745" s="72"/>
      <c r="G745" s="71"/>
    </row>
    <row r="746" spans="1:7" ht="12.75" x14ac:dyDescent="0.2">
      <c r="A746" s="71"/>
      <c r="B746" s="72"/>
      <c r="C746" s="72"/>
      <c r="E746" s="72"/>
      <c r="G746" s="71"/>
    </row>
    <row r="747" spans="1:7" ht="12.75" x14ac:dyDescent="0.2">
      <c r="A747" s="71"/>
      <c r="B747" s="72"/>
      <c r="C747" s="72"/>
      <c r="E747" s="72"/>
      <c r="G747" s="71"/>
    </row>
    <row r="748" spans="1:7" ht="12.75" x14ac:dyDescent="0.2">
      <c r="A748" s="71"/>
      <c r="B748" s="72"/>
      <c r="C748" s="72"/>
      <c r="E748" s="72"/>
      <c r="G748" s="71"/>
    </row>
    <row r="749" spans="1:7" ht="12.75" x14ac:dyDescent="0.2">
      <c r="A749" s="71"/>
      <c r="B749" s="72"/>
      <c r="C749" s="72"/>
      <c r="E749" s="72"/>
      <c r="G749" s="71"/>
    </row>
    <row r="750" spans="1:7" ht="12.75" x14ac:dyDescent="0.2">
      <c r="A750" s="71"/>
      <c r="B750" s="72"/>
      <c r="C750" s="72"/>
      <c r="E750" s="72"/>
      <c r="G750" s="71"/>
    </row>
    <row r="751" spans="1:7" ht="12.75" x14ac:dyDescent="0.2">
      <c r="A751" s="71"/>
      <c r="B751" s="72"/>
      <c r="C751" s="72"/>
      <c r="E751" s="72"/>
      <c r="G751" s="71"/>
    </row>
    <row r="752" spans="1:7" ht="12.75" x14ac:dyDescent="0.2">
      <c r="A752" s="71"/>
      <c r="B752" s="72"/>
      <c r="C752" s="72"/>
      <c r="E752" s="72"/>
      <c r="G752" s="71"/>
    </row>
    <row r="753" spans="1:7" ht="12.75" x14ac:dyDescent="0.2">
      <c r="A753" s="71"/>
      <c r="B753" s="72"/>
      <c r="C753" s="72"/>
      <c r="E753" s="72"/>
      <c r="G753" s="71"/>
    </row>
    <row r="754" spans="1:7" ht="12.75" x14ac:dyDescent="0.2">
      <c r="A754" s="71"/>
      <c r="B754" s="72"/>
      <c r="C754" s="72"/>
      <c r="E754" s="72"/>
      <c r="G754" s="71"/>
    </row>
    <row r="755" spans="1:7" ht="12.75" x14ac:dyDescent="0.2">
      <c r="A755" s="71"/>
      <c r="B755" s="72"/>
      <c r="C755" s="72"/>
      <c r="E755" s="72"/>
      <c r="G755" s="71"/>
    </row>
    <row r="756" spans="1:7" ht="12.75" x14ac:dyDescent="0.2">
      <c r="A756" s="71"/>
      <c r="B756" s="72"/>
      <c r="C756" s="72"/>
      <c r="E756" s="72"/>
      <c r="G756" s="71"/>
    </row>
    <row r="757" spans="1:7" ht="12.75" x14ac:dyDescent="0.2">
      <c r="A757" s="71"/>
      <c r="B757" s="72"/>
      <c r="C757" s="72"/>
      <c r="E757" s="72"/>
      <c r="G757" s="71"/>
    </row>
    <row r="758" spans="1:7" ht="12.75" x14ac:dyDescent="0.2">
      <c r="A758" s="71"/>
      <c r="B758" s="72"/>
      <c r="C758" s="72"/>
      <c r="E758" s="72"/>
      <c r="G758" s="71"/>
    </row>
    <row r="759" spans="1:7" ht="12.75" x14ac:dyDescent="0.2">
      <c r="A759" s="71"/>
      <c r="B759" s="72"/>
      <c r="C759" s="72"/>
      <c r="E759" s="72"/>
      <c r="G759" s="71"/>
    </row>
    <row r="760" spans="1:7" ht="12.75" x14ac:dyDescent="0.2">
      <c r="A760" s="71"/>
      <c r="B760" s="72"/>
      <c r="C760" s="72"/>
      <c r="E760" s="72"/>
      <c r="G760" s="71"/>
    </row>
    <row r="761" spans="1:7" ht="12.75" x14ac:dyDescent="0.2">
      <c r="A761" s="71"/>
      <c r="B761" s="72"/>
      <c r="C761" s="72"/>
      <c r="E761" s="72"/>
      <c r="G761" s="71"/>
    </row>
    <row r="762" spans="1:7" ht="12.75" x14ac:dyDescent="0.2">
      <c r="A762" s="71"/>
      <c r="B762" s="72"/>
      <c r="C762" s="72"/>
      <c r="E762" s="72"/>
      <c r="G762" s="71"/>
    </row>
    <row r="763" spans="1:7" ht="12.75" x14ac:dyDescent="0.2">
      <c r="A763" s="71"/>
      <c r="B763" s="72"/>
      <c r="C763" s="72"/>
      <c r="E763" s="72"/>
      <c r="G763" s="71"/>
    </row>
    <row r="764" spans="1:7" ht="12.75" x14ac:dyDescent="0.2">
      <c r="A764" s="71"/>
      <c r="B764" s="72"/>
      <c r="C764" s="72"/>
      <c r="E764" s="72"/>
      <c r="G764" s="71"/>
    </row>
    <row r="765" spans="1:7" ht="12.75" x14ac:dyDescent="0.2">
      <c r="A765" s="71"/>
      <c r="B765" s="72"/>
      <c r="C765" s="72"/>
      <c r="E765" s="72"/>
      <c r="G765" s="71"/>
    </row>
    <row r="766" spans="1:7" ht="12.75" x14ac:dyDescent="0.2">
      <c r="A766" s="71"/>
      <c r="B766" s="72"/>
      <c r="C766" s="72"/>
      <c r="E766" s="72"/>
      <c r="G766" s="71"/>
    </row>
    <row r="767" spans="1:7" ht="12.75" x14ac:dyDescent="0.2">
      <c r="A767" s="71"/>
      <c r="B767" s="72"/>
      <c r="C767" s="72"/>
      <c r="E767" s="72"/>
      <c r="G767" s="71"/>
    </row>
    <row r="768" spans="1:7" ht="12.75" x14ac:dyDescent="0.2">
      <c r="A768" s="71"/>
      <c r="B768" s="72"/>
      <c r="C768" s="72"/>
      <c r="E768" s="72"/>
      <c r="G768" s="71"/>
    </row>
    <row r="769" spans="1:7" ht="12.75" x14ac:dyDescent="0.2">
      <c r="A769" s="71"/>
      <c r="B769" s="72"/>
      <c r="C769" s="72"/>
      <c r="E769" s="72"/>
      <c r="G769" s="71"/>
    </row>
    <row r="770" spans="1:7" ht="12.75" x14ac:dyDescent="0.2">
      <c r="A770" s="71"/>
      <c r="B770" s="72"/>
      <c r="C770" s="72"/>
      <c r="E770" s="72"/>
      <c r="G770" s="71"/>
    </row>
    <row r="771" spans="1:7" ht="12.75" x14ac:dyDescent="0.2">
      <c r="A771" s="71"/>
      <c r="B771" s="72"/>
      <c r="C771" s="72"/>
      <c r="E771" s="72"/>
      <c r="G771" s="71"/>
    </row>
    <row r="772" spans="1:7" ht="12.75" x14ac:dyDescent="0.2">
      <c r="A772" s="71"/>
      <c r="B772" s="72"/>
      <c r="C772" s="72"/>
      <c r="E772" s="72"/>
      <c r="G772" s="71"/>
    </row>
    <row r="773" spans="1:7" ht="12.75" x14ac:dyDescent="0.2">
      <c r="A773" s="71"/>
      <c r="B773" s="72"/>
      <c r="C773" s="72"/>
      <c r="E773" s="72"/>
      <c r="G773" s="71"/>
    </row>
    <row r="774" spans="1:7" ht="12.75" x14ac:dyDescent="0.2">
      <c r="A774" s="71"/>
      <c r="B774" s="72"/>
      <c r="C774" s="72"/>
      <c r="E774" s="72"/>
      <c r="G774" s="71"/>
    </row>
    <row r="775" spans="1:7" ht="12.75" x14ac:dyDescent="0.2">
      <c r="A775" s="71"/>
      <c r="B775" s="72"/>
      <c r="C775" s="72"/>
      <c r="E775" s="72"/>
      <c r="G775" s="71"/>
    </row>
    <row r="776" spans="1:7" ht="12.75" x14ac:dyDescent="0.2">
      <c r="A776" s="71"/>
      <c r="B776" s="72"/>
      <c r="C776" s="72"/>
      <c r="E776" s="72"/>
      <c r="G776" s="71"/>
    </row>
    <row r="777" spans="1:7" ht="12.75" x14ac:dyDescent="0.2">
      <c r="A777" s="71"/>
      <c r="B777" s="72"/>
      <c r="C777" s="72"/>
      <c r="E777" s="72"/>
      <c r="G777" s="71"/>
    </row>
    <row r="778" spans="1:7" ht="12.75" x14ac:dyDescent="0.2">
      <c r="A778" s="71"/>
      <c r="B778" s="72"/>
      <c r="C778" s="72"/>
      <c r="E778" s="72"/>
      <c r="G778" s="71"/>
    </row>
    <row r="779" spans="1:7" ht="12.75" x14ac:dyDescent="0.2">
      <c r="A779" s="71"/>
      <c r="B779" s="72"/>
      <c r="C779" s="72"/>
      <c r="E779" s="72"/>
      <c r="G779" s="71"/>
    </row>
    <row r="780" spans="1:7" ht="12.75" x14ac:dyDescent="0.2">
      <c r="A780" s="71"/>
      <c r="B780" s="72"/>
      <c r="C780" s="72"/>
      <c r="E780" s="72"/>
      <c r="G780" s="71"/>
    </row>
    <row r="781" spans="1:7" ht="12.75" x14ac:dyDescent="0.2">
      <c r="A781" s="71"/>
      <c r="B781" s="72"/>
      <c r="C781" s="72"/>
      <c r="E781" s="72"/>
      <c r="G781" s="71"/>
    </row>
    <row r="782" spans="1:7" ht="12.75" x14ac:dyDescent="0.2">
      <c r="A782" s="71"/>
      <c r="B782" s="72"/>
      <c r="C782" s="72"/>
      <c r="E782" s="72"/>
      <c r="G782" s="71"/>
    </row>
    <row r="783" spans="1:7" ht="12.75" x14ac:dyDescent="0.2">
      <c r="A783" s="71"/>
      <c r="B783" s="72"/>
      <c r="C783" s="72"/>
      <c r="E783" s="72"/>
      <c r="G783" s="71"/>
    </row>
    <row r="784" spans="1:7" ht="12.75" x14ac:dyDescent="0.2">
      <c r="A784" s="71"/>
      <c r="B784" s="72"/>
      <c r="C784" s="72"/>
      <c r="E784" s="72"/>
      <c r="G784" s="71"/>
    </row>
    <row r="785" spans="1:7" ht="12.75" x14ac:dyDescent="0.2">
      <c r="A785" s="71"/>
      <c r="B785" s="72"/>
      <c r="C785" s="72"/>
      <c r="E785" s="72"/>
      <c r="G785" s="71"/>
    </row>
    <row r="786" spans="1:7" ht="12.75" x14ac:dyDescent="0.2">
      <c r="A786" s="71"/>
      <c r="B786" s="72"/>
      <c r="C786" s="72"/>
      <c r="E786" s="72"/>
      <c r="G786" s="71"/>
    </row>
    <row r="787" spans="1:7" ht="12.75" x14ac:dyDescent="0.2">
      <c r="A787" s="71"/>
      <c r="B787" s="72"/>
      <c r="C787" s="72"/>
      <c r="E787" s="72"/>
      <c r="G787" s="71"/>
    </row>
    <row r="788" spans="1:7" ht="12.75" x14ac:dyDescent="0.2">
      <c r="A788" s="71"/>
      <c r="B788" s="72"/>
      <c r="C788" s="72"/>
      <c r="E788" s="72"/>
      <c r="G788" s="71"/>
    </row>
    <row r="789" spans="1:7" ht="12.75" x14ac:dyDescent="0.2">
      <c r="A789" s="71"/>
      <c r="B789" s="72"/>
      <c r="C789" s="72"/>
      <c r="E789" s="72"/>
      <c r="G789" s="71"/>
    </row>
    <row r="790" spans="1:7" ht="12.75" x14ac:dyDescent="0.2">
      <c r="A790" s="71"/>
      <c r="B790" s="72"/>
      <c r="C790" s="72"/>
      <c r="E790" s="72"/>
      <c r="G790" s="71"/>
    </row>
    <row r="791" spans="1:7" ht="12.75" x14ac:dyDescent="0.2">
      <c r="A791" s="71"/>
      <c r="B791" s="72"/>
      <c r="C791" s="72"/>
      <c r="E791" s="72"/>
      <c r="G791" s="71"/>
    </row>
    <row r="792" spans="1:7" ht="12.75" x14ac:dyDescent="0.2">
      <c r="A792" s="71"/>
      <c r="B792" s="72"/>
      <c r="C792" s="72"/>
      <c r="E792" s="72"/>
      <c r="G792" s="71"/>
    </row>
    <row r="793" spans="1:7" ht="12.75" x14ac:dyDescent="0.2">
      <c r="A793" s="71"/>
      <c r="B793" s="72"/>
      <c r="C793" s="72"/>
      <c r="E793" s="72"/>
      <c r="G793" s="71"/>
    </row>
    <row r="794" spans="1:7" ht="12.75" x14ac:dyDescent="0.2">
      <c r="A794" s="71"/>
      <c r="B794" s="72"/>
      <c r="C794" s="72"/>
      <c r="E794" s="72"/>
      <c r="G794" s="71"/>
    </row>
    <row r="795" spans="1:7" ht="12.75" x14ac:dyDescent="0.2">
      <c r="A795" s="71"/>
      <c r="B795" s="72"/>
      <c r="C795" s="72"/>
      <c r="E795" s="72"/>
      <c r="G795" s="71"/>
    </row>
    <row r="796" spans="1:7" ht="12.75" x14ac:dyDescent="0.2">
      <c r="A796" s="71"/>
      <c r="B796" s="72"/>
      <c r="C796" s="72"/>
      <c r="E796" s="72"/>
      <c r="G796" s="71"/>
    </row>
    <row r="797" spans="1:7" ht="12.75" x14ac:dyDescent="0.2">
      <c r="A797" s="71"/>
      <c r="B797" s="72"/>
      <c r="C797" s="72"/>
      <c r="E797" s="72"/>
      <c r="G797" s="71"/>
    </row>
    <row r="798" spans="1:7" ht="12.75" x14ac:dyDescent="0.2">
      <c r="A798" s="71"/>
      <c r="B798" s="72"/>
      <c r="C798" s="72"/>
      <c r="E798" s="72"/>
      <c r="G798" s="71"/>
    </row>
    <row r="799" spans="1:7" ht="12.75" x14ac:dyDescent="0.2">
      <c r="A799" s="71"/>
      <c r="B799" s="72"/>
      <c r="C799" s="72"/>
      <c r="E799" s="72"/>
      <c r="G799" s="71"/>
    </row>
    <row r="800" spans="1:7" ht="12.75" x14ac:dyDescent="0.2">
      <c r="A800" s="71"/>
      <c r="B800" s="72"/>
      <c r="C800" s="72"/>
      <c r="E800" s="72"/>
      <c r="G800" s="71"/>
    </row>
    <row r="801" spans="1:7" ht="12.75" x14ac:dyDescent="0.2">
      <c r="A801" s="71"/>
      <c r="B801" s="72"/>
      <c r="C801" s="72"/>
      <c r="E801" s="72"/>
      <c r="G801" s="71"/>
    </row>
    <row r="802" spans="1:7" ht="12.75" x14ac:dyDescent="0.2">
      <c r="A802" s="71"/>
      <c r="B802" s="72"/>
      <c r="C802" s="72"/>
      <c r="E802" s="72"/>
      <c r="G802" s="71"/>
    </row>
    <row r="803" spans="1:7" ht="12.75" x14ac:dyDescent="0.2">
      <c r="A803" s="71"/>
      <c r="B803" s="72"/>
      <c r="C803" s="72"/>
      <c r="E803" s="72"/>
      <c r="G803" s="71"/>
    </row>
    <row r="804" spans="1:7" ht="12.75" x14ac:dyDescent="0.2">
      <c r="A804" s="71"/>
      <c r="B804" s="72"/>
      <c r="C804" s="72"/>
      <c r="E804" s="72"/>
      <c r="G804" s="71"/>
    </row>
    <row r="805" spans="1:7" ht="12.75" x14ac:dyDescent="0.2">
      <c r="A805" s="71"/>
      <c r="B805" s="72"/>
      <c r="C805" s="72"/>
      <c r="E805" s="72"/>
      <c r="G805" s="71"/>
    </row>
    <row r="806" spans="1:7" ht="12.75" x14ac:dyDescent="0.2">
      <c r="A806" s="71"/>
      <c r="B806" s="72"/>
      <c r="C806" s="72"/>
      <c r="E806" s="72"/>
      <c r="G806" s="71"/>
    </row>
    <row r="807" spans="1:7" ht="12.75" x14ac:dyDescent="0.2">
      <c r="A807" s="71"/>
      <c r="B807" s="72"/>
      <c r="C807" s="72"/>
      <c r="E807" s="72"/>
      <c r="G807" s="71"/>
    </row>
    <row r="808" spans="1:7" ht="12.75" x14ac:dyDescent="0.2">
      <c r="A808" s="71"/>
      <c r="B808" s="72"/>
      <c r="C808" s="72"/>
      <c r="E808" s="72"/>
      <c r="G808" s="71"/>
    </row>
    <row r="809" spans="1:7" ht="12.75" x14ac:dyDescent="0.2">
      <c r="A809" s="71"/>
      <c r="B809" s="72"/>
      <c r="C809" s="72"/>
      <c r="E809" s="72"/>
      <c r="G809" s="71"/>
    </row>
    <row r="810" spans="1:7" ht="12.75" x14ac:dyDescent="0.2">
      <c r="A810" s="71"/>
      <c r="B810" s="72"/>
      <c r="C810" s="72"/>
      <c r="E810" s="72"/>
      <c r="G810" s="71"/>
    </row>
    <row r="811" spans="1:7" ht="12.75" x14ac:dyDescent="0.2">
      <c r="A811" s="71"/>
      <c r="B811" s="72"/>
      <c r="C811" s="72"/>
      <c r="E811" s="72"/>
      <c r="G811" s="71"/>
    </row>
    <row r="812" spans="1:7" ht="12.75" x14ac:dyDescent="0.2">
      <c r="A812" s="71"/>
      <c r="B812" s="72"/>
      <c r="C812" s="72"/>
      <c r="E812" s="72"/>
      <c r="G812" s="71"/>
    </row>
    <row r="813" spans="1:7" ht="12.75" x14ac:dyDescent="0.2">
      <c r="A813" s="71"/>
      <c r="B813" s="72"/>
      <c r="C813" s="72"/>
      <c r="E813" s="72"/>
      <c r="G813" s="71"/>
    </row>
    <row r="814" spans="1:7" ht="12.75" x14ac:dyDescent="0.2">
      <c r="A814" s="71"/>
      <c r="B814" s="72"/>
      <c r="C814" s="72"/>
      <c r="E814" s="72"/>
      <c r="G814" s="71"/>
    </row>
    <row r="815" spans="1:7" ht="12.75" x14ac:dyDescent="0.2">
      <c r="A815" s="71"/>
      <c r="B815" s="72"/>
      <c r="C815" s="72"/>
      <c r="E815" s="72"/>
      <c r="G815" s="71"/>
    </row>
    <row r="816" spans="1:7" ht="12.75" x14ac:dyDescent="0.2">
      <c r="A816" s="71"/>
      <c r="B816" s="72"/>
      <c r="C816" s="72"/>
      <c r="E816" s="72"/>
      <c r="G816" s="71"/>
    </row>
    <row r="817" spans="1:7" ht="12.75" x14ac:dyDescent="0.2">
      <c r="A817" s="71"/>
      <c r="B817" s="72"/>
      <c r="C817" s="72"/>
      <c r="E817" s="72"/>
      <c r="G817" s="71"/>
    </row>
    <row r="818" spans="1:7" ht="12.75" x14ac:dyDescent="0.2">
      <c r="A818" s="71"/>
      <c r="B818" s="72"/>
      <c r="C818" s="72"/>
      <c r="E818" s="72"/>
      <c r="G818" s="71"/>
    </row>
    <row r="819" spans="1:7" ht="12.75" x14ac:dyDescent="0.2">
      <c r="A819" s="71"/>
      <c r="B819" s="72"/>
      <c r="C819" s="72"/>
      <c r="E819" s="72"/>
      <c r="G819" s="71"/>
    </row>
    <row r="820" spans="1:7" ht="12.75" x14ac:dyDescent="0.2">
      <c r="A820" s="71"/>
      <c r="B820" s="72"/>
      <c r="C820" s="72"/>
      <c r="E820" s="72"/>
      <c r="G820" s="71"/>
    </row>
    <row r="821" spans="1:7" ht="12.75" x14ac:dyDescent="0.2">
      <c r="A821" s="71"/>
      <c r="B821" s="72"/>
      <c r="C821" s="72"/>
      <c r="E821" s="72"/>
      <c r="G821" s="71"/>
    </row>
    <row r="822" spans="1:7" ht="12.75" x14ac:dyDescent="0.2">
      <c r="A822" s="71"/>
      <c r="B822" s="72"/>
      <c r="C822" s="72"/>
      <c r="E822" s="72"/>
      <c r="G822" s="71"/>
    </row>
    <row r="823" spans="1:7" ht="12.75" x14ac:dyDescent="0.2">
      <c r="A823" s="71"/>
      <c r="B823" s="72"/>
      <c r="C823" s="72"/>
      <c r="E823" s="72"/>
      <c r="G823" s="71"/>
    </row>
    <row r="824" spans="1:7" ht="12.75" x14ac:dyDescent="0.2">
      <c r="A824" s="71"/>
      <c r="B824" s="72"/>
      <c r="C824" s="72"/>
      <c r="E824" s="72"/>
      <c r="G824" s="71"/>
    </row>
    <row r="825" spans="1:7" ht="12.75" x14ac:dyDescent="0.2">
      <c r="A825" s="71"/>
      <c r="B825" s="72"/>
      <c r="C825" s="72"/>
      <c r="E825" s="72"/>
      <c r="G825" s="71"/>
    </row>
    <row r="826" spans="1:7" ht="12.75" x14ac:dyDescent="0.2">
      <c r="A826" s="71"/>
      <c r="B826" s="72"/>
      <c r="C826" s="72"/>
      <c r="E826" s="72"/>
      <c r="G826" s="71"/>
    </row>
    <row r="827" spans="1:7" ht="12.75" x14ac:dyDescent="0.2">
      <c r="A827" s="71"/>
      <c r="B827" s="72"/>
      <c r="C827" s="72"/>
      <c r="E827" s="72"/>
      <c r="G827" s="71"/>
    </row>
    <row r="828" spans="1:7" ht="12.75" x14ac:dyDescent="0.2">
      <c r="A828" s="71"/>
      <c r="B828" s="72"/>
      <c r="C828" s="72"/>
      <c r="E828" s="72"/>
      <c r="G828" s="71"/>
    </row>
    <row r="829" spans="1:7" ht="12.75" x14ac:dyDescent="0.2">
      <c r="A829" s="71"/>
      <c r="B829" s="72"/>
      <c r="C829" s="72"/>
      <c r="E829" s="72"/>
      <c r="G829" s="71"/>
    </row>
    <row r="830" spans="1:7" ht="12.75" x14ac:dyDescent="0.2">
      <c r="A830" s="71"/>
      <c r="B830" s="72"/>
      <c r="C830" s="72"/>
      <c r="E830" s="72"/>
      <c r="G830" s="71"/>
    </row>
    <row r="831" spans="1:7" ht="12.75" x14ac:dyDescent="0.2">
      <c r="A831" s="71"/>
      <c r="B831" s="72"/>
      <c r="C831" s="72"/>
      <c r="E831" s="72"/>
      <c r="G831" s="71"/>
    </row>
    <row r="832" spans="1:7" ht="12.75" x14ac:dyDescent="0.2">
      <c r="A832" s="71"/>
      <c r="B832" s="72"/>
      <c r="C832" s="72"/>
      <c r="E832" s="72"/>
      <c r="G832" s="71"/>
    </row>
    <row r="833" spans="1:7" ht="12.75" x14ac:dyDescent="0.2">
      <c r="A833" s="71"/>
      <c r="B833" s="72"/>
      <c r="C833" s="72"/>
      <c r="E833" s="72"/>
      <c r="G833" s="71"/>
    </row>
    <row r="834" spans="1:7" ht="12.75" x14ac:dyDescent="0.2">
      <c r="A834" s="71"/>
      <c r="B834" s="72"/>
      <c r="C834" s="72"/>
      <c r="E834" s="72"/>
      <c r="G834" s="71"/>
    </row>
    <row r="835" spans="1:7" ht="12.75" x14ac:dyDescent="0.2">
      <c r="A835" s="71"/>
      <c r="B835" s="72"/>
      <c r="C835" s="72"/>
      <c r="E835" s="72"/>
      <c r="G835" s="71"/>
    </row>
    <row r="836" spans="1:7" ht="12.75" x14ac:dyDescent="0.2">
      <c r="A836" s="71"/>
      <c r="B836" s="72"/>
      <c r="C836" s="72"/>
      <c r="E836" s="72"/>
      <c r="G836" s="71"/>
    </row>
    <row r="837" spans="1:7" ht="12.75" x14ac:dyDescent="0.2">
      <c r="A837" s="71"/>
      <c r="B837" s="72"/>
      <c r="C837" s="72"/>
      <c r="E837" s="72"/>
      <c r="G837" s="71"/>
    </row>
    <row r="838" spans="1:7" ht="12.75" x14ac:dyDescent="0.2">
      <c r="A838" s="71"/>
      <c r="B838" s="72"/>
      <c r="C838" s="72"/>
      <c r="E838" s="72"/>
      <c r="G838" s="71"/>
    </row>
    <row r="839" spans="1:7" ht="12.75" x14ac:dyDescent="0.2">
      <c r="A839" s="71"/>
      <c r="B839" s="72"/>
      <c r="C839" s="72"/>
      <c r="E839" s="72"/>
      <c r="G839" s="71"/>
    </row>
    <row r="840" spans="1:7" ht="12.75" x14ac:dyDescent="0.2">
      <c r="A840" s="71"/>
      <c r="B840" s="72"/>
      <c r="C840" s="72"/>
      <c r="E840" s="72"/>
      <c r="G840" s="71"/>
    </row>
    <row r="841" spans="1:7" ht="12.75" x14ac:dyDescent="0.2">
      <c r="A841" s="71"/>
      <c r="B841" s="72"/>
      <c r="C841" s="72"/>
      <c r="E841" s="72"/>
      <c r="G841" s="71"/>
    </row>
    <row r="842" spans="1:7" ht="12.75" x14ac:dyDescent="0.2">
      <c r="A842" s="71"/>
      <c r="B842" s="72"/>
      <c r="C842" s="72"/>
      <c r="E842" s="72"/>
      <c r="G842" s="71"/>
    </row>
    <row r="843" spans="1:7" ht="12.75" x14ac:dyDescent="0.2">
      <c r="A843" s="71"/>
      <c r="B843" s="72"/>
      <c r="C843" s="72"/>
      <c r="E843" s="72"/>
      <c r="G843" s="71"/>
    </row>
    <row r="844" spans="1:7" ht="12.75" x14ac:dyDescent="0.2">
      <c r="A844" s="71"/>
      <c r="B844" s="72"/>
      <c r="C844" s="72"/>
      <c r="E844" s="72"/>
      <c r="G844" s="71"/>
    </row>
    <row r="845" spans="1:7" ht="12.75" x14ac:dyDescent="0.2">
      <c r="A845" s="71"/>
      <c r="B845" s="72"/>
      <c r="C845" s="72"/>
      <c r="E845" s="72"/>
      <c r="G845" s="71"/>
    </row>
    <row r="846" spans="1:7" ht="12.75" x14ac:dyDescent="0.2">
      <c r="A846" s="71"/>
      <c r="B846" s="72"/>
      <c r="C846" s="72"/>
      <c r="E846" s="72"/>
      <c r="G846" s="71"/>
    </row>
    <row r="847" spans="1:7" ht="12.75" x14ac:dyDescent="0.2">
      <c r="A847" s="71"/>
      <c r="B847" s="72"/>
      <c r="C847" s="72"/>
      <c r="E847" s="72"/>
      <c r="G847" s="71"/>
    </row>
    <row r="848" spans="1:7" ht="12.75" x14ac:dyDescent="0.2">
      <c r="A848" s="71"/>
      <c r="B848" s="72"/>
      <c r="C848" s="72"/>
      <c r="E848" s="72"/>
      <c r="G848" s="71"/>
    </row>
    <row r="849" spans="1:7" ht="12.75" x14ac:dyDescent="0.2">
      <c r="A849" s="71"/>
      <c r="B849" s="72"/>
      <c r="C849" s="72"/>
      <c r="E849" s="72"/>
      <c r="G849" s="71"/>
    </row>
    <row r="850" spans="1:7" ht="12.75" x14ac:dyDescent="0.2">
      <c r="A850" s="71"/>
      <c r="B850" s="72"/>
      <c r="C850" s="72"/>
      <c r="E850" s="72"/>
      <c r="G850" s="71"/>
    </row>
    <row r="851" spans="1:7" ht="12.75" x14ac:dyDescent="0.2">
      <c r="A851" s="71"/>
      <c r="B851" s="72"/>
      <c r="C851" s="72"/>
      <c r="E851" s="72"/>
      <c r="G851" s="71"/>
    </row>
    <row r="852" spans="1:7" ht="12.75" x14ac:dyDescent="0.2">
      <c r="A852" s="71"/>
      <c r="B852" s="72"/>
      <c r="C852" s="72"/>
      <c r="E852" s="72"/>
      <c r="G852" s="71"/>
    </row>
    <row r="853" spans="1:7" ht="12.75" x14ac:dyDescent="0.2">
      <c r="A853" s="71"/>
      <c r="B853" s="72"/>
      <c r="C853" s="72"/>
      <c r="E853" s="72"/>
      <c r="G853" s="71"/>
    </row>
    <row r="854" spans="1:7" ht="12.75" x14ac:dyDescent="0.2">
      <c r="A854" s="71"/>
      <c r="B854" s="72"/>
      <c r="C854" s="72"/>
      <c r="E854" s="72"/>
      <c r="G854" s="71"/>
    </row>
    <row r="855" spans="1:7" ht="12.75" x14ac:dyDescent="0.2">
      <c r="A855" s="71"/>
      <c r="B855" s="72"/>
      <c r="C855" s="72"/>
      <c r="E855" s="72"/>
      <c r="G855" s="71"/>
    </row>
    <row r="856" spans="1:7" ht="12.75" x14ac:dyDescent="0.2">
      <c r="A856" s="71"/>
      <c r="B856" s="72"/>
      <c r="C856" s="72"/>
      <c r="E856" s="72"/>
      <c r="G856" s="71"/>
    </row>
    <row r="857" spans="1:7" ht="12.75" x14ac:dyDescent="0.2">
      <c r="A857" s="71"/>
      <c r="B857" s="72"/>
      <c r="C857" s="72"/>
      <c r="E857" s="72"/>
      <c r="G857" s="71"/>
    </row>
    <row r="858" spans="1:7" ht="12.75" x14ac:dyDescent="0.2">
      <c r="A858" s="71"/>
      <c r="B858" s="72"/>
      <c r="C858" s="72"/>
      <c r="E858" s="72"/>
      <c r="G858" s="71"/>
    </row>
    <row r="859" spans="1:7" ht="12.75" x14ac:dyDescent="0.2">
      <c r="A859" s="71"/>
      <c r="B859" s="72"/>
      <c r="C859" s="72"/>
      <c r="E859" s="72"/>
      <c r="G859" s="71"/>
    </row>
    <row r="860" spans="1:7" ht="12.75" x14ac:dyDescent="0.2">
      <c r="A860" s="71"/>
      <c r="B860" s="72"/>
      <c r="C860" s="72"/>
      <c r="E860" s="72"/>
      <c r="G860" s="71"/>
    </row>
    <row r="861" spans="1:7" ht="12.75" x14ac:dyDescent="0.2">
      <c r="A861" s="71"/>
      <c r="B861" s="72"/>
      <c r="C861" s="72"/>
      <c r="E861" s="72"/>
      <c r="G861" s="71"/>
    </row>
    <row r="862" spans="1:7" ht="12.75" x14ac:dyDescent="0.2">
      <c r="A862" s="71"/>
      <c r="B862" s="72"/>
      <c r="C862" s="72"/>
      <c r="E862" s="72"/>
      <c r="G862" s="71"/>
    </row>
    <row r="863" spans="1:7" ht="12.75" x14ac:dyDescent="0.2">
      <c r="A863" s="71"/>
      <c r="B863" s="72"/>
      <c r="C863" s="72"/>
      <c r="E863" s="72"/>
      <c r="G863" s="71"/>
    </row>
    <row r="864" spans="1:7" ht="12.75" x14ac:dyDescent="0.2">
      <c r="A864" s="71"/>
      <c r="B864" s="72"/>
      <c r="C864" s="72"/>
      <c r="E864" s="72"/>
      <c r="G864" s="71"/>
    </row>
    <row r="865" spans="1:7" ht="12.75" x14ac:dyDescent="0.2">
      <c r="A865" s="71"/>
      <c r="B865" s="72"/>
      <c r="C865" s="72"/>
      <c r="E865" s="72"/>
      <c r="G865" s="71"/>
    </row>
    <row r="866" spans="1:7" ht="12.75" x14ac:dyDescent="0.2">
      <c r="A866" s="71"/>
      <c r="B866" s="72"/>
      <c r="C866" s="72"/>
      <c r="E866" s="72"/>
      <c r="G866" s="71"/>
    </row>
    <row r="867" spans="1:7" ht="12.75" x14ac:dyDescent="0.2">
      <c r="A867" s="71"/>
      <c r="B867" s="72"/>
      <c r="C867" s="72"/>
      <c r="E867" s="72"/>
      <c r="G867" s="71"/>
    </row>
    <row r="868" spans="1:7" ht="12.75" x14ac:dyDescent="0.2">
      <c r="A868" s="71"/>
      <c r="B868" s="72"/>
      <c r="C868" s="72"/>
      <c r="E868" s="72"/>
      <c r="G868" s="71"/>
    </row>
    <row r="869" spans="1:7" ht="12.75" x14ac:dyDescent="0.2">
      <c r="A869" s="71"/>
      <c r="B869" s="72"/>
      <c r="C869" s="72"/>
      <c r="E869" s="72"/>
      <c r="G869" s="71"/>
    </row>
    <row r="870" spans="1:7" ht="12.75" x14ac:dyDescent="0.2">
      <c r="A870" s="71"/>
      <c r="B870" s="72"/>
      <c r="C870" s="72"/>
      <c r="E870" s="72"/>
      <c r="G870" s="71"/>
    </row>
    <row r="871" spans="1:7" ht="12.75" x14ac:dyDescent="0.2">
      <c r="A871" s="71"/>
      <c r="B871" s="72"/>
      <c r="C871" s="72"/>
      <c r="E871" s="72"/>
      <c r="G871" s="71"/>
    </row>
    <row r="872" spans="1:7" ht="12.75" x14ac:dyDescent="0.2">
      <c r="A872" s="71"/>
      <c r="B872" s="72"/>
      <c r="C872" s="72"/>
      <c r="E872" s="72"/>
      <c r="G872" s="71"/>
    </row>
    <row r="873" spans="1:7" ht="12.75" x14ac:dyDescent="0.2">
      <c r="A873" s="71"/>
      <c r="B873" s="72"/>
      <c r="C873" s="72"/>
      <c r="E873" s="72"/>
      <c r="G873" s="71"/>
    </row>
    <row r="874" spans="1:7" ht="12.75" x14ac:dyDescent="0.2">
      <c r="A874" s="71"/>
      <c r="B874" s="72"/>
      <c r="C874" s="72"/>
      <c r="E874" s="72"/>
      <c r="G874" s="71"/>
    </row>
    <row r="875" spans="1:7" ht="12.75" x14ac:dyDescent="0.2">
      <c r="A875" s="71"/>
      <c r="B875" s="72"/>
      <c r="C875" s="72"/>
      <c r="E875" s="72"/>
      <c r="G875" s="71"/>
    </row>
    <row r="876" spans="1:7" ht="12.75" x14ac:dyDescent="0.2">
      <c r="A876" s="71"/>
      <c r="B876" s="72"/>
      <c r="C876" s="72"/>
      <c r="E876" s="72"/>
      <c r="G876" s="71"/>
    </row>
    <row r="877" spans="1:7" ht="12.75" x14ac:dyDescent="0.2">
      <c r="A877" s="71"/>
      <c r="B877" s="72"/>
      <c r="C877" s="72"/>
      <c r="E877" s="72"/>
      <c r="G877" s="71"/>
    </row>
    <row r="878" spans="1:7" ht="12.75" x14ac:dyDescent="0.2">
      <c r="A878" s="71"/>
      <c r="B878" s="72"/>
      <c r="C878" s="72"/>
      <c r="E878" s="72"/>
      <c r="G878" s="71"/>
    </row>
    <row r="879" spans="1:7" ht="12.75" x14ac:dyDescent="0.2">
      <c r="A879" s="71"/>
      <c r="B879" s="72"/>
      <c r="C879" s="72"/>
      <c r="E879" s="72"/>
      <c r="G879" s="71"/>
    </row>
    <row r="880" spans="1:7" ht="12.75" x14ac:dyDescent="0.2">
      <c r="A880" s="71"/>
      <c r="B880" s="72"/>
      <c r="C880" s="72"/>
      <c r="E880" s="72"/>
      <c r="G880" s="71"/>
    </row>
    <row r="881" spans="1:7" ht="12.75" x14ac:dyDescent="0.2">
      <c r="A881" s="71"/>
      <c r="B881" s="72"/>
      <c r="C881" s="72"/>
      <c r="E881" s="72"/>
      <c r="G881" s="71"/>
    </row>
    <row r="882" spans="1:7" ht="12.75" x14ac:dyDescent="0.2">
      <c r="A882" s="71"/>
      <c r="B882" s="72"/>
      <c r="C882" s="72"/>
      <c r="E882" s="72"/>
      <c r="G882" s="71"/>
    </row>
    <row r="883" spans="1:7" ht="12.75" x14ac:dyDescent="0.2">
      <c r="A883" s="71"/>
      <c r="B883" s="72"/>
      <c r="C883" s="72"/>
      <c r="E883" s="72"/>
      <c r="G883" s="71"/>
    </row>
    <row r="884" spans="1:7" ht="12.75" x14ac:dyDescent="0.2">
      <c r="A884" s="71"/>
      <c r="B884" s="72"/>
      <c r="C884" s="72"/>
      <c r="E884" s="72"/>
      <c r="G884" s="71"/>
    </row>
    <row r="885" spans="1:7" ht="12.75" x14ac:dyDescent="0.2">
      <c r="A885" s="71"/>
      <c r="B885" s="72"/>
      <c r="C885" s="72"/>
      <c r="E885" s="72"/>
      <c r="G885" s="71"/>
    </row>
    <row r="886" spans="1:7" ht="12.75" x14ac:dyDescent="0.2">
      <c r="A886" s="71"/>
      <c r="B886" s="72"/>
      <c r="C886" s="72"/>
      <c r="E886" s="72"/>
      <c r="G886" s="71"/>
    </row>
    <row r="887" spans="1:7" ht="12.75" x14ac:dyDescent="0.2">
      <c r="A887" s="71"/>
      <c r="B887" s="72"/>
      <c r="C887" s="72"/>
      <c r="E887" s="72"/>
      <c r="G887" s="71"/>
    </row>
    <row r="888" spans="1:7" ht="12.75" x14ac:dyDescent="0.2">
      <c r="A888" s="71"/>
      <c r="B888" s="72"/>
      <c r="C888" s="72"/>
      <c r="E888" s="72"/>
      <c r="G888" s="71"/>
    </row>
    <row r="889" spans="1:7" ht="12.75" x14ac:dyDescent="0.2">
      <c r="A889" s="71"/>
      <c r="B889" s="72"/>
      <c r="C889" s="72"/>
      <c r="E889" s="72"/>
      <c r="G889" s="71"/>
    </row>
    <row r="890" spans="1:7" ht="12.75" x14ac:dyDescent="0.2">
      <c r="A890" s="71"/>
      <c r="B890" s="72"/>
      <c r="C890" s="72"/>
      <c r="E890" s="72"/>
      <c r="G890" s="71"/>
    </row>
    <row r="891" spans="1:7" ht="12.75" x14ac:dyDescent="0.2">
      <c r="A891" s="71"/>
      <c r="B891" s="72"/>
      <c r="C891" s="72"/>
      <c r="E891" s="72"/>
      <c r="G891" s="71"/>
    </row>
    <row r="892" spans="1:7" ht="12.75" x14ac:dyDescent="0.2">
      <c r="A892" s="71"/>
      <c r="B892" s="72"/>
      <c r="C892" s="72"/>
      <c r="E892" s="72"/>
      <c r="G892" s="71"/>
    </row>
    <row r="893" spans="1:7" ht="12.75" x14ac:dyDescent="0.2">
      <c r="A893" s="71"/>
      <c r="B893" s="72"/>
      <c r="C893" s="72"/>
      <c r="E893" s="72"/>
      <c r="G893" s="71"/>
    </row>
    <row r="894" spans="1:7" ht="12.75" x14ac:dyDescent="0.2">
      <c r="A894" s="71"/>
      <c r="B894" s="72"/>
      <c r="C894" s="72"/>
      <c r="E894" s="72"/>
      <c r="G894" s="71"/>
    </row>
    <row r="895" spans="1:7" ht="12.75" x14ac:dyDescent="0.2">
      <c r="A895" s="71"/>
      <c r="B895" s="72"/>
      <c r="C895" s="72"/>
      <c r="E895" s="72"/>
      <c r="G895" s="71"/>
    </row>
    <row r="896" spans="1:7" ht="12.75" x14ac:dyDescent="0.2">
      <c r="A896" s="71"/>
      <c r="B896" s="72"/>
      <c r="C896" s="72"/>
      <c r="E896" s="72"/>
      <c r="G896" s="71"/>
    </row>
    <row r="897" spans="1:7" ht="12.75" x14ac:dyDescent="0.2">
      <c r="A897" s="71"/>
      <c r="B897" s="72"/>
      <c r="C897" s="72"/>
      <c r="E897" s="72"/>
      <c r="G897" s="71"/>
    </row>
    <row r="898" spans="1:7" ht="12.75" x14ac:dyDescent="0.2">
      <c r="A898" s="71"/>
      <c r="B898" s="72"/>
      <c r="C898" s="72"/>
      <c r="E898" s="72"/>
      <c r="G898" s="71"/>
    </row>
    <row r="899" spans="1:7" ht="12.75" x14ac:dyDescent="0.2">
      <c r="A899" s="71"/>
      <c r="B899" s="72"/>
      <c r="C899" s="72"/>
      <c r="E899" s="72"/>
      <c r="G899" s="71"/>
    </row>
    <row r="900" spans="1:7" ht="12.75" x14ac:dyDescent="0.2">
      <c r="A900" s="71"/>
      <c r="B900" s="72"/>
      <c r="C900" s="72"/>
      <c r="E900" s="72"/>
      <c r="G900" s="71"/>
    </row>
    <row r="901" spans="1:7" ht="12.75" x14ac:dyDescent="0.2">
      <c r="A901" s="71"/>
      <c r="B901" s="72"/>
      <c r="C901" s="72"/>
      <c r="E901" s="72"/>
      <c r="G901" s="71"/>
    </row>
    <row r="902" spans="1:7" ht="12.75" x14ac:dyDescent="0.2">
      <c r="A902" s="71"/>
      <c r="B902" s="72"/>
      <c r="C902" s="72"/>
      <c r="E902" s="72"/>
      <c r="G902" s="71"/>
    </row>
    <row r="903" spans="1:7" ht="12.75" x14ac:dyDescent="0.2">
      <c r="A903" s="71"/>
      <c r="B903" s="72"/>
      <c r="C903" s="72"/>
      <c r="E903" s="72"/>
      <c r="G903" s="71"/>
    </row>
    <row r="904" spans="1:7" ht="12.75" x14ac:dyDescent="0.2">
      <c r="A904" s="71"/>
      <c r="B904" s="72"/>
      <c r="C904" s="72"/>
      <c r="E904" s="72"/>
      <c r="G904" s="71"/>
    </row>
    <row r="905" spans="1:7" ht="12.75" x14ac:dyDescent="0.2">
      <c r="A905" s="71"/>
      <c r="B905" s="72"/>
      <c r="C905" s="72"/>
      <c r="E905" s="72"/>
      <c r="G905" s="71"/>
    </row>
    <row r="906" spans="1:7" ht="12.75" x14ac:dyDescent="0.2">
      <c r="A906" s="71"/>
      <c r="B906" s="72"/>
      <c r="C906" s="72"/>
      <c r="E906" s="72"/>
      <c r="G906" s="71"/>
    </row>
    <row r="907" spans="1:7" ht="12.75" x14ac:dyDescent="0.2">
      <c r="A907" s="71"/>
      <c r="B907" s="72"/>
      <c r="C907" s="72"/>
      <c r="E907" s="72"/>
      <c r="G907" s="71"/>
    </row>
    <row r="908" spans="1:7" ht="12.75" x14ac:dyDescent="0.2">
      <c r="A908" s="71"/>
      <c r="B908" s="72"/>
      <c r="C908" s="72"/>
      <c r="E908" s="72"/>
      <c r="G908" s="71"/>
    </row>
    <row r="909" spans="1:7" ht="12.75" x14ac:dyDescent="0.2">
      <c r="A909" s="71"/>
      <c r="B909" s="72"/>
      <c r="C909" s="72"/>
      <c r="E909" s="72"/>
      <c r="G909" s="71"/>
    </row>
    <row r="910" spans="1:7" ht="12.75" x14ac:dyDescent="0.2">
      <c r="A910" s="71"/>
      <c r="B910" s="72"/>
      <c r="C910" s="72"/>
      <c r="E910" s="72"/>
      <c r="G910" s="71"/>
    </row>
    <row r="911" spans="1:7" ht="12.75" x14ac:dyDescent="0.2">
      <c r="A911" s="71"/>
      <c r="B911" s="72"/>
      <c r="C911" s="72"/>
      <c r="E911" s="72"/>
      <c r="G911" s="71"/>
    </row>
    <row r="912" spans="1:7" ht="12.75" x14ac:dyDescent="0.2">
      <c r="A912" s="71"/>
      <c r="B912" s="72"/>
      <c r="C912" s="72"/>
      <c r="E912" s="72"/>
      <c r="G912" s="71"/>
    </row>
    <row r="913" spans="1:7" ht="12.75" x14ac:dyDescent="0.2">
      <c r="A913" s="71"/>
      <c r="B913" s="72"/>
      <c r="C913" s="72"/>
      <c r="E913" s="72"/>
      <c r="G913" s="71"/>
    </row>
    <row r="914" spans="1:7" ht="12.75" x14ac:dyDescent="0.2">
      <c r="A914" s="71"/>
      <c r="B914" s="72"/>
      <c r="C914" s="72"/>
      <c r="E914" s="72"/>
      <c r="G914" s="71"/>
    </row>
    <row r="915" spans="1:7" ht="12.75" x14ac:dyDescent="0.2">
      <c r="A915" s="71"/>
      <c r="B915" s="72"/>
      <c r="C915" s="72"/>
      <c r="E915" s="72"/>
      <c r="G915" s="71"/>
    </row>
    <row r="916" spans="1:7" ht="12.75" x14ac:dyDescent="0.2">
      <c r="A916" s="71"/>
      <c r="B916" s="72"/>
      <c r="C916" s="72"/>
      <c r="E916" s="72"/>
      <c r="G916" s="71"/>
    </row>
    <row r="917" spans="1:7" ht="12.75" x14ac:dyDescent="0.2">
      <c r="A917" s="71"/>
      <c r="B917" s="72"/>
      <c r="C917" s="72"/>
      <c r="E917" s="72"/>
      <c r="G917" s="71"/>
    </row>
    <row r="918" spans="1:7" ht="12.75" x14ac:dyDescent="0.2">
      <c r="A918" s="71"/>
      <c r="B918" s="72"/>
      <c r="C918" s="72"/>
      <c r="E918" s="72"/>
      <c r="G918" s="71"/>
    </row>
    <row r="919" spans="1:7" ht="12.75" x14ac:dyDescent="0.2">
      <c r="A919" s="71"/>
      <c r="B919" s="72"/>
      <c r="C919" s="72"/>
      <c r="E919" s="72"/>
      <c r="G919" s="71"/>
    </row>
    <row r="920" spans="1:7" ht="12.75" x14ac:dyDescent="0.2">
      <c r="A920" s="71"/>
      <c r="B920" s="72"/>
      <c r="C920" s="72"/>
      <c r="E920" s="72"/>
      <c r="G920" s="71"/>
    </row>
    <row r="921" spans="1:7" ht="12.75" x14ac:dyDescent="0.2">
      <c r="A921" s="71"/>
      <c r="B921" s="72"/>
      <c r="C921" s="72"/>
      <c r="E921" s="72"/>
      <c r="G921" s="71"/>
    </row>
    <row r="922" spans="1:7" ht="12.75" x14ac:dyDescent="0.2">
      <c r="A922" s="71"/>
      <c r="B922" s="72"/>
      <c r="C922" s="72"/>
      <c r="E922" s="72"/>
      <c r="G922" s="71"/>
    </row>
    <row r="923" spans="1:7" ht="12.75" x14ac:dyDescent="0.2">
      <c r="A923" s="71"/>
      <c r="B923" s="72"/>
      <c r="C923" s="72"/>
      <c r="E923" s="72"/>
      <c r="G923" s="71"/>
    </row>
    <row r="924" spans="1:7" ht="12.75" x14ac:dyDescent="0.2">
      <c r="A924" s="71"/>
      <c r="B924" s="72"/>
      <c r="C924" s="72"/>
      <c r="E924" s="72"/>
      <c r="G924" s="71"/>
    </row>
    <row r="925" spans="1:7" ht="12.75" x14ac:dyDescent="0.2">
      <c r="A925" s="71"/>
      <c r="B925" s="72"/>
      <c r="C925" s="72"/>
      <c r="E925" s="72"/>
      <c r="G925" s="71"/>
    </row>
    <row r="926" spans="1:7" ht="12.75" x14ac:dyDescent="0.2">
      <c r="A926" s="71"/>
      <c r="B926" s="72"/>
      <c r="C926" s="72"/>
      <c r="E926" s="72"/>
      <c r="G926" s="71"/>
    </row>
    <row r="927" spans="1:7" ht="12.75" x14ac:dyDescent="0.2">
      <c r="A927" s="71"/>
      <c r="B927" s="72"/>
      <c r="C927" s="72"/>
      <c r="E927" s="72"/>
      <c r="G927" s="71"/>
    </row>
    <row r="928" spans="1:7" ht="12.75" x14ac:dyDescent="0.2">
      <c r="A928" s="71"/>
      <c r="B928" s="72"/>
      <c r="C928" s="72"/>
      <c r="E928" s="72"/>
      <c r="G928" s="71"/>
    </row>
    <row r="929" spans="1:7" ht="12.75" x14ac:dyDescent="0.2">
      <c r="A929" s="71"/>
      <c r="B929" s="72"/>
      <c r="C929" s="72"/>
      <c r="E929" s="72"/>
      <c r="G929" s="71"/>
    </row>
    <row r="930" spans="1:7" ht="12.75" x14ac:dyDescent="0.2">
      <c r="A930" s="71"/>
      <c r="B930" s="72"/>
      <c r="C930" s="72"/>
      <c r="E930" s="72"/>
      <c r="G930" s="71"/>
    </row>
    <row r="931" spans="1:7" ht="12.75" x14ac:dyDescent="0.2">
      <c r="A931" s="71"/>
      <c r="B931" s="72"/>
      <c r="C931" s="72"/>
      <c r="E931" s="72"/>
      <c r="G931" s="71"/>
    </row>
    <row r="932" spans="1:7" ht="12.75" x14ac:dyDescent="0.2">
      <c r="A932" s="71"/>
      <c r="B932" s="72"/>
      <c r="C932" s="72"/>
      <c r="E932" s="72"/>
      <c r="G932" s="71"/>
    </row>
    <row r="933" spans="1:7" ht="12.75" x14ac:dyDescent="0.2">
      <c r="A933" s="71"/>
      <c r="B933" s="72"/>
      <c r="C933" s="72"/>
      <c r="E933" s="72"/>
      <c r="G933" s="71"/>
    </row>
    <row r="934" spans="1:7" ht="12.75" x14ac:dyDescent="0.2">
      <c r="A934" s="71"/>
      <c r="B934" s="72"/>
      <c r="C934" s="72"/>
      <c r="E934" s="72"/>
      <c r="G934" s="71"/>
    </row>
    <row r="935" spans="1:7" ht="12.75" x14ac:dyDescent="0.2">
      <c r="A935" s="71"/>
      <c r="B935" s="72"/>
      <c r="C935" s="72"/>
      <c r="E935" s="72"/>
      <c r="G935" s="71"/>
    </row>
    <row r="936" spans="1:7" ht="12.75" x14ac:dyDescent="0.2">
      <c r="A936" s="71"/>
      <c r="B936" s="72"/>
      <c r="C936" s="72"/>
      <c r="E936" s="72"/>
      <c r="G936" s="71"/>
    </row>
    <row r="937" spans="1:7" ht="12.75" x14ac:dyDescent="0.2">
      <c r="A937" s="71"/>
      <c r="B937" s="72"/>
      <c r="C937" s="72"/>
      <c r="E937" s="72"/>
      <c r="G937" s="71"/>
    </row>
    <row r="938" spans="1:7" ht="12.75" x14ac:dyDescent="0.2">
      <c r="A938" s="71"/>
      <c r="B938" s="72"/>
      <c r="C938" s="72"/>
      <c r="E938" s="72"/>
      <c r="G938" s="71"/>
    </row>
    <row r="939" spans="1:7" ht="12.75" x14ac:dyDescent="0.2">
      <c r="A939" s="71"/>
      <c r="B939" s="72"/>
      <c r="C939" s="72"/>
      <c r="E939" s="72"/>
      <c r="G939" s="71"/>
    </row>
    <row r="940" spans="1:7" ht="12.75" x14ac:dyDescent="0.2">
      <c r="A940" s="71"/>
      <c r="B940" s="72"/>
      <c r="C940" s="72"/>
      <c r="E940" s="72"/>
      <c r="G940" s="71"/>
    </row>
    <row r="941" spans="1:7" ht="12.75" x14ac:dyDescent="0.2">
      <c r="A941" s="71"/>
      <c r="B941" s="72"/>
      <c r="C941" s="72"/>
      <c r="E941" s="72"/>
      <c r="G941" s="71"/>
    </row>
    <row r="942" spans="1:7" ht="12.75" x14ac:dyDescent="0.2">
      <c r="A942" s="71"/>
      <c r="B942" s="72"/>
      <c r="C942" s="72"/>
      <c r="E942" s="72"/>
      <c r="G942" s="71"/>
    </row>
    <row r="943" spans="1:7" ht="12.75" x14ac:dyDescent="0.2">
      <c r="A943" s="71"/>
      <c r="B943" s="72"/>
      <c r="C943" s="72"/>
      <c r="E943" s="72"/>
      <c r="G943" s="71"/>
    </row>
    <row r="944" spans="1:7" ht="12.75" x14ac:dyDescent="0.2">
      <c r="A944" s="71"/>
      <c r="B944" s="72"/>
      <c r="C944" s="72"/>
      <c r="E944" s="72"/>
      <c r="G944" s="71"/>
    </row>
    <row r="945" spans="1:7" ht="12.75" x14ac:dyDescent="0.2">
      <c r="A945" s="71"/>
      <c r="B945" s="72"/>
      <c r="C945" s="72"/>
      <c r="E945" s="72"/>
      <c r="G945" s="71"/>
    </row>
    <row r="946" spans="1:7" ht="12.75" x14ac:dyDescent="0.2">
      <c r="A946" s="71"/>
      <c r="B946" s="72"/>
      <c r="C946" s="72"/>
      <c r="E946" s="72"/>
      <c r="G946" s="71"/>
    </row>
    <row r="947" spans="1:7" ht="12.75" x14ac:dyDescent="0.2">
      <c r="A947" s="71"/>
      <c r="B947" s="72"/>
      <c r="C947" s="72"/>
      <c r="E947" s="72"/>
      <c r="G947" s="71"/>
    </row>
    <row r="948" spans="1:7" ht="12.75" x14ac:dyDescent="0.2">
      <c r="A948" s="71"/>
      <c r="B948" s="72"/>
      <c r="C948" s="72"/>
      <c r="E948" s="72"/>
      <c r="G948" s="71"/>
    </row>
    <row r="949" spans="1:7" ht="12.75" x14ac:dyDescent="0.2">
      <c r="A949" s="71"/>
      <c r="B949" s="72"/>
      <c r="C949" s="72"/>
      <c r="E949" s="72"/>
      <c r="G949" s="71"/>
    </row>
    <row r="950" spans="1:7" ht="12.75" x14ac:dyDescent="0.2">
      <c r="A950" s="71"/>
      <c r="B950" s="72"/>
      <c r="C950" s="72"/>
      <c r="E950" s="72"/>
      <c r="G950" s="71"/>
    </row>
    <row r="951" spans="1:7" ht="12.75" x14ac:dyDescent="0.2">
      <c r="A951" s="71"/>
      <c r="B951" s="72"/>
      <c r="C951" s="72"/>
      <c r="E951" s="72"/>
      <c r="G951" s="71"/>
    </row>
    <row r="952" spans="1:7" ht="12.75" x14ac:dyDescent="0.2">
      <c r="A952" s="71"/>
      <c r="B952" s="72"/>
      <c r="C952" s="72"/>
      <c r="E952" s="72"/>
      <c r="G952" s="71"/>
    </row>
    <row r="953" spans="1:7" ht="12.75" x14ac:dyDescent="0.2">
      <c r="A953" s="71"/>
      <c r="B953" s="72"/>
      <c r="C953" s="72"/>
      <c r="E953" s="72"/>
      <c r="G953" s="71"/>
    </row>
    <row r="954" spans="1:7" ht="12.75" x14ac:dyDescent="0.2">
      <c r="A954" s="71"/>
      <c r="B954" s="72"/>
      <c r="C954" s="72"/>
      <c r="E954" s="72"/>
      <c r="G954" s="71"/>
    </row>
    <row r="955" spans="1:7" ht="12.75" x14ac:dyDescent="0.2">
      <c r="A955" s="71"/>
      <c r="B955" s="72"/>
      <c r="C955" s="72"/>
      <c r="E955" s="72"/>
      <c r="G955" s="71"/>
    </row>
    <row r="956" spans="1:7" ht="12.75" x14ac:dyDescent="0.2">
      <c r="A956" s="71"/>
      <c r="B956" s="72"/>
      <c r="C956" s="72"/>
      <c r="E956" s="72"/>
      <c r="G956" s="71"/>
    </row>
    <row r="957" spans="1:7" ht="12.75" x14ac:dyDescent="0.2">
      <c r="A957" s="71"/>
      <c r="B957" s="72"/>
      <c r="C957" s="72"/>
      <c r="E957" s="72"/>
      <c r="G957" s="71"/>
    </row>
    <row r="958" spans="1:7" ht="12.75" x14ac:dyDescent="0.2">
      <c r="A958" s="71"/>
      <c r="B958" s="72"/>
      <c r="C958" s="72"/>
      <c r="E958" s="72"/>
      <c r="G958" s="71"/>
    </row>
    <row r="959" spans="1:7" ht="12.75" x14ac:dyDescent="0.2">
      <c r="A959" s="71"/>
      <c r="B959" s="72"/>
      <c r="C959" s="72"/>
      <c r="E959" s="72"/>
      <c r="G959" s="71"/>
    </row>
    <row r="960" spans="1:7" ht="12.75" x14ac:dyDescent="0.2">
      <c r="A960" s="71"/>
      <c r="B960" s="72"/>
      <c r="C960" s="72"/>
      <c r="E960" s="72"/>
      <c r="G960" s="71"/>
    </row>
    <row r="961" spans="1:7" ht="12.75" x14ac:dyDescent="0.2">
      <c r="A961" s="71"/>
      <c r="B961" s="72"/>
      <c r="C961" s="72"/>
      <c r="E961" s="72"/>
      <c r="G961" s="71"/>
    </row>
    <row r="962" spans="1:7" ht="12.75" x14ac:dyDescent="0.2">
      <c r="A962" s="71"/>
      <c r="B962" s="72"/>
      <c r="C962" s="72"/>
      <c r="E962" s="72"/>
      <c r="G962" s="71"/>
    </row>
    <row r="963" spans="1:7" ht="12.75" x14ac:dyDescent="0.2">
      <c r="A963" s="71"/>
      <c r="B963" s="72"/>
      <c r="C963" s="72"/>
      <c r="E963" s="72"/>
      <c r="G963" s="71"/>
    </row>
    <row r="964" spans="1:7" ht="12.75" x14ac:dyDescent="0.2">
      <c r="A964" s="71"/>
      <c r="B964" s="72"/>
      <c r="C964" s="72"/>
      <c r="E964" s="72"/>
      <c r="G964" s="71"/>
    </row>
    <row r="965" spans="1:7" ht="12.75" x14ac:dyDescent="0.2">
      <c r="A965" s="71"/>
      <c r="B965" s="72"/>
      <c r="C965" s="72"/>
      <c r="E965" s="72"/>
      <c r="G965" s="71"/>
    </row>
    <row r="966" spans="1:7" ht="12.75" x14ac:dyDescent="0.2">
      <c r="A966" s="71"/>
      <c r="B966" s="72"/>
      <c r="C966" s="72"/>
      <c r="E966" s="72"/>
      <c r="G966" s="71"/>
    </row>
    <row r="967" spans="1:7" ht="12.75" x14ac:dyDescent="0.2">
      <c r="A967" s="71"/>
      <c r="B967" s="72"/>
      <c r="C967" s="72"/>
      <c r="E967" s="72"/>
      <c r="G967" s="71"/>
    </row>
    <row r="968" spans="1:7" ht="12.75" x14ac:dyDescent="0.2">
      <c r="A968" s="71"/>
      <c r="B968" s="72"/>
      <c r="C968" s="72"/>
      <c r="E968" s="72"/>
      <c r="G968" s="71"/>
    </row>
    <row r="969" spans="1:7" ht="12.75" x14ac:dyDescent="0.2">
      <c r="A969" s="71"/>
      <c r="B969" s="72"/>
      <c r="C969" s="72"/>
      <c r="E969" s="72"/>
      <c r="G969" s="71"/>
    </row>
    <row r="970" spans="1:7" ht="12.75" x14ac:dyDescent="0.2">
      <c r="A970" s="71"/>
      <c r="B970" s="72"/>
      <c r="C970" s="72"/>
      <c r="E970" s="72"/>
      <c r="G970" s="71"/>
    </row>
    <row r="971" spans="1:7" ht="12.75" x14ac:dyDescent="0.2">
      <c r="A971" s="71"/>
      <c r="B971" s="72"/>
      <c r="C971" s="72"/>
      <c r="E971" s="72"/>
      <c r="G971" s="71"/>
    </row>
    <row r="972" spans="1:7" ht="12.75" x14ac:dyDescent="0.2">
      <c r="A972" s="71"/>
      <c r="B972" s="72"/>
      <c r="C972" s="72"/>
      <c r="E972" s="72"/>
      <c r="G972" s="71"/>
    </row>
    <row r="973" spans="1:7" ht="12.75" x14ac:dyDescent="0.2">
      <c r="A973" s="71"/>
      <c r="B973" s="72"/>
      <c r="C973" s="72"/>
      <c r="E973" s="72"/>
      <c r="G973" s="71"/>
    </row>
    <row r="974" spans="1:7" ht="12.75" x14ac:dyDescent="0.2">
      <c r="A974" s="71"/>
      <c r="B974" s="72"/>
      <c r="C974" s="72"/>
      <c r="E974" s="72"/>
      <c r="G974" s="71"/>
    </row>
    <row r="975" spans="1:7" ht="12.75" x14ac:dyDescent="0.2">
      <c r="A975" s="71"/>
      <c r="B975" s="72"/>
      <c r="C975" s="72"/>
      <c r="E975" s="72"/>
      <c r="G975" s="71"/>
    </row>
    <row r="976" spans="1:7" ht="12.75" x14ac:dyDescent="0.2">
      <c r="A976" s="71"/>
      <c r="B976" s="72"/>
      <c r="C976" s="72"/>
      <c r="E976" s="72"/>
      <c r="G976" s="71"/>
    </row>
    <row r="977" spans="1:7" ht="12.75" x14ac:dyDescent="0.2">
      <c r="A977" s="71"/>
      <c r="B977" s="72"/>
      <c r="C977" s="72"/>
      <c r="E977" s="72"/>
      <c r="G977" s="71"/>
    </row>
    <row r="978" spans="1:7" ht="12.75" x14ac:dyDescent="0.2">
      <c r="A978" s="71"/>
      <c r="B978" s="72"/>
      <c r="C978" s="72"/>
      <c r="E978" s="72"/>
      <c r="G978" s="71"/>
    </row>
    <row r="979" spans="1:7" ht="12.75" x14ac:dyDescent="0.2">
      <c r="A979" s="71"/>
      <c r="B979" s="72"/>
      <c r="C979" s="72"/>
      <c r="E979" s="72"/>
      <c r="G979" s="71"/>
    </row>
    <row r="980" spans="1:7" ht="12.75" x14ac:dyDescent="0.2">
      <c r="A980" s="71"/>
      <c r="B980" s="72"/>
      <c r="C980" s="72"/>
      <c r="E980" s="72"/>
      <c r="G980" s="71"/>
    </row>
    <row r="981" spans="1:7" ht="12.75" x14ac:dyDescent="0.2">
      <c r="A981" s="71"/>
      <c r="B981" s="72"/>
      <c r="C981" s="72"/>
      <c r="E981" s="72"/>
      <c r="G981" s="71"/>
    </row>
    <row r="982" spans="1:7" ht="12.75" x14ac:dyDescent="0.2">
      <c r="A982" s="71"/>
      <c r="B982" s="72"/>
      <c r="C982" s="72"/>
      <c r="E982" s="72"/>
      <c r="G982" s="71"/>
    </row>
    <row r="983" spans="1:7" ht="12.75" x14ac:dyDescent="0.2">
      <c r="A983" s="71"/>
      <c r="B983" s="72"/>
      <c r="C983" s="72"/>
      <c r="E983" s="72"/>
      <c r="G983" s="71"/>
    </row>
    <row r="984" spans="1:7" ht="12.75" x14ac:dyDescent="0.2">
      <c r="A984" s="71"/>
      <c r="B984" s="72"/>
      <c r="C984" s="72"/>
      <c r="E984" s="72"/>
      <c r="G984" s="71"/>
    </row>
    <row r="985" spans="1:7" ht="12.75" x14ac:dyDescent="0.2">
      <c r="A985" s="71"/>
      <c r="B985" s="72"/>
      <c r="C985" s="72"/>
      <c r="E985" s="72"/>
      <c r="G985" s="71"/>
    </row>
    <row r="986" spans="1:7" ht="12.75" x14ac:dyDescent="0.2">
      <c r="A986" s="71"/>
      <c r="B986" s="72"/>
      <c r="C986" s="72"/>
      <c r="E986" s="72"/>
      <c r="G986" s="71"/>
    </row>
    <row r="987" spans="1:7" ht="12.75" x14ac:dyDescent="0.2">
      <c r="A987" s="71"/>
      <c r="B987" s="72"/>
      <c r="C987" s="72"/>
      <c r="E987" s="72"/>
      <c r="G987" s="71"/>
    </row>
    <row r="988" spans="1:7" ht="12.75" x14ac:dyDescent="0.2">
      <c r="A988" s="71"/>
      <c r="B988" s="72"/>
      <c r="C988" s="72"/>
      <c r="E988" s="72"/>
      <c r="G988" s="71"/>
    </row>
    <row r="989" spans="1:7" ht="12.75" x14ac:dyDescent="0.2">
      <c r="A989" s="71"/>
      <c r="B989" s="72"/>
      <c r="C989" s="72"/>
      <c r="E989" s="72"/>
      <c r="G989" s="71"/>
    </row>
    <row r="990" spans="1:7" ht="12.75" x14ac:dyDescent="0.2">
      <c r="A990" s="71"/>
      <c r="B990" s="72"/>
      <c r="C990" s="72"/>
      <c r="E990" s="72"/>
      <c r="G990" s="71"/>
    </row>
    <row r="991" spans="1:7" ht="12.75" x14ac:dyDescent="0.2">
      <c r="A991" s="71"/>
      <c r="B991" s="72"/>
      <c r="C991" s="72"/>
      <c r="E991" s="72"/>
      <c r="G991" s="71"/>
    </row>
    <row r="992" spans="1:7" ht="12.75" x14ac:dyDescent="0.2">
      <c r="A992" s="71"/>
      <c r="B992" s="72"/>
      <c r="C992" s="72"/>
      <c r="E992" s="72"/>
      <c r="G992" s="71"/>
    </row>
    <row r="993" spans="1:7" ht="12.75" x14ac:dyDescent="0.2">
      <c r="A993" s="71"/>
      <c r="B993" s="72"/>
      <c r="C993" s="72"/>
      <c r="E993" s="72"/>
      <c r="G993" s="71"/>
    </row>
    <row r="994" spans="1:7" ht="12.75" x14ac:dyDescent="0.2">
      <c r="A994" s="71"/>
      <c r="B994" s="72"/>
      <c r="C994" s="72"/>
      <c r="E994" s="72"/>
      <c r="G994" s="71"/>
    </row>
    <row r="995" spans="1:7" ht="12.75" x14ac:dyDescent="0.2">
      <c r="A995" s="71"/>
      <c r="B995" s="72"/>
      <c r="C995" s="72"/>
      <c r="E995" s="72"/>
      <c r="G995" s="71"/>
    </row>
    <row r="996" spans="1:7" ht="12.75" x14ac:dyDescent="0.2">
      <c r="A996" s="71"/>
      <c r="B996" s="72"/>
      <c r="C996" s="72"/>
      <c r="E996" s="72"/>
      <c r="G996" s="71"/>
    </row>
    <row r="997" spans="1:7" ht="12.75" x14ac:dyDescent="0.2">
      <c r="A997" s="71"/>
      <c r="B997" s="72"/>
      <c r="C997" s="72"/>
      <c r="E997" s="72"/>
      <c r="G997" s="71"/>
    </row>
    <row r="998" spans="1:7" ht="12.75" x14ac:dyDescent="0.2">
      <c r="A998" s="71"/>
      <c r="B998" s="72"/>
      <c r="C998" s="72"/>
      <c r="E998" s="72"/>
      <c r="G998" s="71"/>
    </row>
    <row r="999" spans="1:7" ht="12.75" x14ac:dyDescent="0.2">
      <c r="A999" s="71"/>
      <c r="B999" s="72"/>
      <c r="C999" s="72"/>
      <c r="E999" s="72"/>
      <c r="G999" s="71"/>
    </row>
    <row r="1000" spans="1:7" ht="12.75" x14ac:dyDescent="0.2">
      <c r="A1000" s="71"/>
      <c r="B1000" s="72"/>
      <c r="C1000" s="72"/>
      <c r="E1000" s="72"/>
      <c r="G1000" s="71"/>
    </row>
    <row r="1001" spans="1:7" ht="12.75" x14ac:dyDescent="0.2">
      <c r="A1001" s="71"/>
      <c r="B1001" s="72"/>
      <c r="C1001" s="72"/>
      <c r="E1001" s="72"/>
      <c r="G1001" s="71"/>
    </row>
    <row r="1002" spans="1:7" ht="12.75" x14ac:dyDescent="0.2">
      <c r="A1002" s="71"/>
      <c r="B1002" s="72"/>
      <c r="C1002" s="72"/>
      <c r="E1002" s="72"/>
      <c r="G1002" s="71"/>
    </row>
    <row r="1003" spans="1:7" ht="12.75" x14ac:dyDescent="0.2">
      <c r="A1003" s="71"/>
      <c r="B1003" s="72"/>
      <c r="C1003" s="72"/>
      <c r="E1003" s="72"/>
      <c r="G1003" s="71"/>
    </row>
    <row r="1004" spans="1:7" ht="12.75" x14ac:dyDescent="0.2">
      <c r="A1004" s="71"/>
      <c r="B1004" s="72"/>
      <c r="C1004" s="72"/>
      <c r="E1004" s="72"/>
      <c r="G1004" s="71"/>
    </row>
    <row r="1005" spans="1:7" ht="12.75" x14ac:dyDescent="0.2">
      <c r="A1005" s="71"/>
      <c r="B1005" s="72"/>
      <c r="C1005" s="72"/>
      <c r="E1005" s="72"/>
      <c r="G1005" s="71"/>
    </row>
    <row r="1006" spans="1:7" ht="12.75" x14ac:dyDescent="0.2">
      <c r="A1006" s="71"/>
      <c r="B1006" s="72"/>
      <c r="C1006" s="72"/>
      <c r="E1006" s="72"/>
      <c r="G1006" s="71"/>
    </row>
    <row r="1007" spans="1:7" ht="12.75" x14ac:dyDescent="0.2">
      <c r="A1007" s="71"/>
      <c r="B1007" s="72"/>
      <c r="C1007" s="72"/>
      <c r="E1007" s="72"/>
      <c r="G1007" s="71"/>
    </row>
    <row r="1008" spans="1:7" ht="12.75" x14ac:dyDescent="0.2">
      <c r="A1008" s="71"/>
      <c r="B1008" s="72"/>
      <c r="C1008" s="72"/>
      <c r="E1008" s="72"/>
      <c r="G1008" s="71"/>
    </row>
    <row r="1009" spans="1:7" ht="12.75" x14ac:dyDescent="0.2">
      <c r="A1009" s="71"/>
      <c r="B1009" s="72"/>
      <c r="C1009" s="72"/>
      <c r="E1009" s="72"/>
      <c r="G1009" s="71"/>
    </row>
    <row r="1010" spans="1:7" ht="12.75" x14ac:dyDescent="0.2">
      <c r="A1010" s="71"/>
      <c r="B1010" s="72"/>
      <c r="C1010" s="72"/>
      <c r="E1010" s="72"/>
      <c r="G1010" s="71"/>
    </row>
    <row r="1011" spans="1:7" ht="12.75" x14ac:dyDescent="0.2">
      <c r="A1011" s="71"/>
      <c r="B1011" s="72"/>
      <c r="C1011" s="72"/>
      <c r="E1011" s="72"/>
      <c r="G1011" s="71"/>
    </row>
    <row r="1012" spans="1:7" ht="12.75" x14ac:dyDescent="0.2">
      <c r="A1012" s="71"/>
      <c r="B1012" s="72"/>
      <c r="C1012" s="72"/>
      <c r="E1012" s="72"/>
      <c r="G1012" s="71"/>
    </row>
    <row r="1013" spans="1:7" ht="12.75" x14ac:dyDescent="0.2">
      <c r="A1013" s="71"/>
      <c r="B1013" s="72"/>
      <c r="C1013" s="72"/>
      <c r="E1013" s="72"/>
      <c r="G1013" s="71"/>
    </row>
    <row r="1014" spans="1:7" ht="12.75" x14ac:dyDescent="0.2">
      <c r="A1014" s="71"/>
      <c r="B1014" s="72"/>
      <c r="C1014" s="72"/>
      <c r="E1014" s="72"/>
      <c r="G1014" s="71"/>
    </row>
    <row r="1015" spans="1:7" ht="12.75" x14ac:dyDescent="0.2">
      <c r="A1015" s="71"/>
      <c r="B1015" s="72"/>
      <c r="C1015" s="72"/>
      <c r="E1015" s="72"/>
      <c r="G1015" s="71"/>
    </row>
    <row r="1016" spans="1:7" ht="12.75" x14ac:dyDescent="0.2">
      <c r="A1016" s="71"/>
      <c r="B1016" s="72"/>
      <c r="C1016" s="72"/>
      <c r="E1016" s="72"/>
      <c r="G1016" s="71"/>
    </row>
    <row r="1017" spans="1:7" ht="12.75" x14ac:dyDescent="0.2">
      <c r="A1017" s="71"/>
      <c r="B1017" s="72"/>
      <c r="C1017" s="72"/>
      <c r="E1017" s="72"/>
      <c r="G1017" s="71"/>
    </row>
    <row r="1018" spans="1:7" ht="12.75" x14ac:dyDescent="0.2">
      <c r="A1018" s="71"/>
      <c r="B1018" s="72"/>
      <c r="C1018" s="72"/>
      <c r="E1018" s="72"/>
      <c r="G1018" s="71"/>
    </row>
    <row r="1019" spans="1:7" ht="12.75" x14ac:dyDescent="0.2">
      <c r="A1019" s="71"/>
      <c r="B1019" s="72"/>
      <c r="C1019" s="72"/>
      <c r="E1019" s="72"/>
      <c r="G1019" s="71"/>
    </row>
    <row r="1020" spans="1:7" ht="12.75" x14ac:dyDescent="0.2">
      <c r="A1020" s="71"/>
      <c r="B1020" s="72"/>
      <c r="C1020" s="72"/>
      <c r="E1020" s="72"/>
      <c r="G1020" s="71"/>
    </row>
    <row r="1021" spans="1:7" ht="12.75" x14ac:dyDescent="0.2">
      <c r="A1021" s="71"/>
      <c r="B1021" s="72"/>
      <c r="C1021" s="72"/>
      <c r="E1021" s="72"/>
      <c r="G1021" s="71"/>
    </row>
    <row r="1022" spans="1:7" ht="12.75" x14ac:dyDescent="0.2">
      <c r="A1022" s="71"/>
      <c r="B1022" s="72"/>
      <c r="C1022" s="72"/>
      <c r="E1022" s="72"/>
      <c r="G1022" s="71"/>
    </row>
    <row r="1023" spans="1:7" ht="12.75" x14ac:dyDescent="0.2">
      <c r="A1023" s="71"/>
      <c r="B1023" s="72"/>
      <c r="C1023" s="72"/>
      <c r="E1023" s="72"/>
      <c r="G1023" s="71"/>
    </row>
    <row r="1024" spans="1:7" ht="12.75" x14ac:dyDescent="0.2">
      <c r="A1024" s="71"/>
      <c r="B1024" s="72"/>
      <c r="C1024" s="72"/>
      <c r="E1024" s="72"/>
      <c r="G1024" s="71"/>
    </row>
    <row r="1025" spans="1:7" ht="12.75" x14ac:dyDescent="0.2">
      <c r="A1025" s="71"/>
      <c r="B1025" s="72"/>
      <c r="C1025" s="72"/>
      <c r="E1025" s="72"/>
      <c r="G1025" s="71"/>
    </row>
    <row r="1026" spans="1:7" ht="12.75" x14ac:dyDescent="0.2">
      <c r="A1026" s="71"/>
      <c r="B1026" s="72"/>
      <c r="C1026" s="72"/>
      <c r="E1026" s="72"/>
      <c r="G1026" s="71"/>
    </row>
    <row r="1027" spans="1:7" ht="12.75" x14ac:dyDescent="0.2">
      <c r="A1027" s="71"/>
      <c r="B1027" s="72"/>
      <c r="C1027" s="72"/>
      <c r="E1027" s="72"/>
      <c r="G1027" s="71"/>
    </row>
    <row r="1028" spans="1:7" ht="12.75" x14ac:dyDescent="0.2">
      <c r="A1028" s="71"/>
      <c r="B1028" s="72"/>
      <c r="C1028" s="72"/>
      <c r="E1028" s="72"/>
      <c r="G1028" s="71"/>
    </row>
    <row r="1029" spans="1:7" ht="12.75" x14ac:dyDescent="0.2">
      <c r="A1029" s="71"/>
      <c r="B1029" s="72"/>
      <c r="C1029" s="72"/>
      <c r="E1029" s="72"/>
      <c r="G1029" s="71"/>
    </row>
    <row r="1030" spans="1:7" ht="12.75" x14ac:dyDescent="0.2">
      <c r="A1030" s="71"/>
      <c r="B1030" s="72"/>
      <c r="C1030" s="72"/>
      <c r="E1030" s="72"/>
      <c r="G1030" s="71"/>
    </row>
    <row r="1031" spans="1:7" ht="12.75" x14ac:dyDescent="0.2">
      <c r="A1031" s="71"/>
      <c r="B1031" s="72"/>
      <c r="C1031" s="72"/>
      <c r="E1031" s="72"/>
      <c r="G1031" s="71"/>
    </row>
    <row r="1032" spans="1:7" ht="12.75" x14ac:dyDescent="0.2">
      <c r="A1032" s="71"/>
      <c r="B1032" s="72"/>
      <c r="C1032" s="72"/>
      <c r="E1032" s="72"/>
      <c r="G1032" s="71"/>
    </row>
    <row r="1033" spans="1:7" ht="12.75" x14ac:dyDescent="0.2">
      <c r="A1033" s="71"/>
      <c r="B1033" s="72"/>
      <c r="C1033" s="72"/>
      <c r="E1033" s="72"/>
      <c r="G1033" s="71"/>
    </row>
    <row r="1034" spans="1:7" ht="12.75" x14ac:dyDescent="0.2">
      <c r="A1034" s="71"/>
      <c r="B1034" s="72"/>
      <c r="C1034" s="72"/>
      <c r="E1034" s="72"/>
      <c r="G1034" s="71"/>
    </row>
    <row r="1035" spans="1:7" ht="12.75" x14ac:dyDescent="0.2">
      <c r="A1035" s="71"/>
      <c r="B1035" s="72"/>
      <c r="C1035" s="72"/>
      <c r="E1035" s="72"/>
      <c r="G1035" s="71"/>
    </row>
    <row r="1036" spans="1:7" ht="12.75" x14ac:dyDescent="0.2">
      <c r="A1036" s="71"/>
      <c r="B1036" s="72"/>
      <c r="C1036" s="72"/>
      <c r="E1036" s="72"/>
      <c r="G1036" s="71"/>
    </row>
    <row r="1037" spans="1:7" ht="12.75" x14ac:dyDescent="0.2">
      <c r="A1037" s="71"/>
      <c r="B1037" s="72"/>
      <c r="C1037" s="72"/>
      <c r="E1037" s="72"/>
      <c r="G1037" s="71"/>
    </row>
    <row r="1038" spans="1:7" ht="12.75" x14ac:dyDescent="0.2">
      <c r="A1038" s="71"/>
      <c r="B1038" s="72"/>
      <c r="C1038" s="72"/>
      <c r="E1038" s="72"/>
      <c r="G1038" s="71"/>
    </row>
    <row r="1039" spans="1:7" ht="12.75" x14ac:dyDescent="0.2">
      <c r="A1039" s="71"/>
      <c r="B1039" s="72"/>
      <c r="C1039" s="72"/>
      <c r="E1039" s="72"/>
      <c r="G1039" s="71"/>
    </row>
    <row r="1040" spans="1:7" ht="12.75" x14ac:dyDescent="0.2">
      <c r="A1040" s="71"/>
      <c r="B1040" s="72"/>
      <c r="C1040" s="72"/>
      <c r="E1040" s="72"/>
      <c r="G1040" s="71"/>
    </row>
    <row r="1041" spans="1:7" ht="12.75" x14ac:dyDescent="0.2">
      <c r="A1041" s="71"/>
      <c r="B1041" s="72"/>
      <c r="C1041" s="72"/>
      <c r="E1041" s="72"/>
      <c r="G1041" s="71"/>
    </row>
    <row r="1042" spans="1:7" ht="12.75" x14ac:dyDescent="0.2">
      <c r="A1042" s="71"/>
      <c r="B1042" s="72"/>
      <c r="C1042" s="72"/>
      <c r="E1042" s="72"/>
      <c r="G1042" s="71"/>
    </row>
    <row r="1043" spans="1:7" ht="12.75" x14ac:dyDescent="0.2">
      <c r="A1043" s="71"/>
      <c r="B1043" s="72"/>
      <c r="C1043" s="72"/>
      <c r="E1043" s="72"/>
      <c r="G1043" s="71"/>
    </row>
    <row r="1044" spans="1:7" ht="12.75" x14ac:dyDescent="0.2">
      <c r="A1044" s="71"/>
      <c r="B1044" s="72"/>
      <c r="C1044" s="72"/>
      <c r="E1044" s="72"/>
      <c r="G1044" s="71"/>
    </row>
    <row r="1045" spans="1:7" ht="12.75" x14ac:dyDescent="0.2">
      <c r="A1045" s="71"/>
      <c r="B1045" s="72"/>
      <c r="C1045" s="72"/>
      <c r="E1045" s="72"/>
      <c r="G1045" s="71"/>
    </row>
    <row r="1046" spans="1:7" ht="12.75" x14ac:dyDescent="0.2">
      <c r="A1046" s="71"/>
      <c r="B1046" s="72"/>
      <c r="C1046" s="72"/>
      <c r="E1046" s="72"/>
      <c r="G1046" s="71"/>
    </row>
    <row r="1047" spans="1:7" ht="12.75" x14ac:dyDescent="0.2">
      <c r="A1047" s="71"/>
      <c r="B1047" s="72"/>
      <c r="C1047" s="72"/>
      <c r="E1047" s="72"/>
      <c r="G1047" s="71"/>
    </row>
    <row r="1048" spans="1:7" ht="12.75" x14ac:dyDescent="0.2">
      <c r="A1048" s="71"/>
      <c r="B1048" s="72"/>
      <c r="C1048" s="72"/>
      <c r="E1048" s="72"/>
      <c r="G1048" s="71"/>
    </row>
    <row r="1049" spans="1:7" ht="12.75" x14ac:dyDescent="0.2">
      <c r="A1049" s="71"/>
      <c r="B1049" s="72"/>
      <c r="C1049" s="72"/>
      <c r="E1049" s="72"/>
      <c r="G1049" s="71"/>
    </row>
    <row r="1050" spans="1:7" ht="12.75" x14ac:dyDescent="0.2">
      <c r="A1050" s="71"/>
      <c r="B1050" s="72"/>
      <c r="C1050" s="72"/>
      <c r="E1050" s="72"/>
      <c r="G1050" s="71"/>
    </row>
    <row r="1051" spans="1:7" ht="12.75" x14ac:dyDescent="0.2">
      <c r="A1051" s="71"/>
      <c r="B1051" s="72"/>
      <c r="C1051" s="72"/>
      <c r="E1051" s="72"/>
      <c r="G1051" s="71"/>
    </row>
    <row r="1052" spans="1:7" ht="12.75" x14ac:dyDescent="0.2">
      <c r="A1052" s="71"/>
      <c r="B1052" s="72"/>
      <c r="C1052" s="72"/>
      <c r="E1052" s="72"/>
      <c r="G1052" s="71"/>
    </row>
    <row r="1053" spans="1:7" ht="12.75" x14ac:dyDescent="0.2">
      <c r="A1053" s="71"/>
      <c r="B1053" s="72"/>
      <c r="C1053" s="72"/>
      <c r="E1053" s="72"/>
      <c r="G1053" s="71"/>
    </row>
    <row r="1054" spans="1:7" ht="12.75" x14ac:dyDescent="0.2">
      <c r="A1054" s="71"/>
      <c r="B1054" s="72"/>
      <c r="C1054" s="72"/>
      <c r="E1054" s="72"/>
      <c r="G1054" s="71"/>
    </row>
    <row r="1055" spans="1:7" ht="12.75" x14ac:dyDescent="0.2">
      <c r="A1055" s="71"/>
      <c r="B1055" s="72"/>
      <c r="C1055" s="72"/>
      <c r="E1055" s="72"/>
      <c r="G1055" s="71"/>
    </row>
    <row r="1056" spans="1:7" ht="12.75" x14ac:dyDescent="0.2">
      <c r="A1056" s="71"/>
      <c r="B1056" s="72"/>
      <c r="C1056" s="72"/>
      <c r="E1056" s="72"/>
      <c r="G1056" s="71"/>
    </row>
    <row r="1057" spans="1:7" ht="12.75" x14ac:dyDescent="0.2">
      <c r="A1057" s="71"/>
      <c r="B1057" s="72"/>
      <c r="C1057" s="72"/>
      <c r="E1057" s="72"/>
      <c r="G1057" s="71"/>
    </row>
    <row r="1058" spans="1:7" ht="12.75" x14ac:dyDescent="0.2">
      <c r="A1058" s="71"/>
      <c r="B1058" s="72"/>
      <c r="C1058" s="72"/>
      <c r="E1058" s="72"/>
      <c r="G1058" s="71"/>
    </row>
    <row r="1059" spans="1:7" ht="12.75" x14ac:dyDescent="0.2">
      <c r="A1059" s="71"/>
      <c r="B1059" s="72"/>
      <c r="C1059" s="72"/>
      <c r="E1059" s="72"/>
      <c r="G1059" s="71"/>
    </row>
    <row r="1060" spans="1:7" ht="12.75" x14ac:dyDescent="0.2">
      <c r="A1060" s="71"/>
      <c r="B1060" s="72"/>
      <c r="C1060" s="72"/>
      <c r="E1060" s="72"/>
      <c r="G1060" s="71"/>
    </row>
    <row r="1061" spans="1:7" ht="12.75" x14ac:dyDescent="0.2">
      <c r="A1061" s="71"/>
      <c r="B1061" s="72"/>
      <c r="C1061" s="72"/>
      <c r="E1061" s="72"/>
      <c r="G1061" s="71"/>
    </row>
    <row r="1062" spans="1:7" ht="12.75" x14ac:dyDescent="0.2">
      <c r="A1062" s="71"/>
      <c r="B1062" s="72"/>
      <c r="C1062" s="72"/>
      <c r="E1062" s="72"/>
      <c r="G1062" s="71"/>
    </row>
    <row r="1063" spans="1:7" ht="12.75" x14ac:dyDescent="0.2">
      <c r="A1063" s="71"/>
      <c r="B1063" s="72"/>
      <c r="C1063" s="72"/>
      <c r="E1063" s="72"/>
      <c r="G1063" s="71"/>
    </row>
    <row r="1064" spans="1:7" ht="12.75" x14ac:dyDescent="0.2">
      <c r="A1064" s="71"/>
      <c r="B1064" s="72"/>
      <c r="C1064" s="72"/>
      <c r="E1064" s="72"/>
      <c r="G1064" s="71"/>
    </row>
    <row r="1065" spans="1:7" ht="12.75" x14ac:dyDescent="0.2">
      <c r="A1065" s="71"/>
      <c r="B1065" s="72"/>
      <c r="C1065" s="72"/>
      <c r="E1065" s="72"/>
      <c r="G1065" s="71"/>
    </row>
    <row r="1066" spans="1:7" ht="12.75" x14ac:dyDescent="0.2">
      <c r="A1066" s="71"/>
      <c r="B1066" s="72"/>
      <c r="C1066" s="72"/>
      <c r="E1066" s="72"/>
      <c r="G1066" s="71"/>
    </row>
    <row r="1067" spans="1:7" ht="12.75" x14ac:dyDescent="0.2">
      <c r="A1067" s="71"/>
      <c r="B1067" s="72"/>
      <c r="C1067" s="72"/>
      <c r="E1067" s="72"/>
      <c r="G1067" s="71"/>
    </row>
  </sheetData>
  <mergeCells count="10">
    <mergeCell ref="C81:H81"/>
    <mergeCell ref="C82:H82"/>
    <mergeCell ref="C83:H83"/>
    <mergeCell ref="B74:C74"/>
    <mergeCell ref="C75:H75"/>
    <mergeCell ref="C76:H76"/>
    <mergeCell ref="C77:H77"/>
    <mergeCell ref="C78:H78"/>
    <mergeCell ref="C79:H79"/>
    <mergeCell ref="C80:H80"/>
  </mergeCells>
  <hyperlinks>
    <hyperlink ref="L3" r:id="rId1" xr:uid="{00000000-0004-0000-0100-000000000000}"/>
    <hyperlink ref="L4" r:id="rId2" xr:uid="{00000000-0004-0000-0100-000001000000}"/>
    <hyperlink ref="L5" r:id="rId3" xr:uid="{00000000-0004-0000-0100-000002000000}"/>
    <hyperlink ref="L6" r:id="rId4" xr:uid="{00000000-0004-0000-0100-000003000000}"/>
    <hyperlink ref="L7" r:id="rId5" xr:uid="{00000000-0004-0000-0100-000004000000}"/>
    <hyperlink ref="L8" r:id="rId6" xr:uid="{00000000-0004-0000-0100-000005000000}"/>
    <hyperlink ref="L9" r:id="rId7" xr:uid="{00000000-0004-0000-0100-000006000000}"/>
    <hyperlink ref="L10" r:id="rId8" xr:uid="{00000000-0004-0000-0100-000007000000}"/>
    <hyperlink ref="L11" r:id="rId9" xr:uid="{00000000-0004-0000-0100-000008000000}"/>
    <hyperlink ref="L12" r:id="rId10" xr:uid="{00000000-0004-0000-0100-000009000000}"/>
    <hyperlink ref="L13" r:id="rId11" xr:uid="{00000000-0004-0000-0100-00000A000000}"/>
    <hyperlink ref="L14" r:id="rId12" xr:uid="{00000000-0004-0000-0100-00000B000000}"/>
    <hyperlink ref="L15" r:id="rId13" xr:uid="{00000000-0004-0000-0100-00000C000000}"/>
    <hyperlink ref="L16" r:id="rId14" xr:uid="{00000000-0004-0000-0100-00000D000000}"/>
    <hyperlink ref="L17" r:id="rId15" xr:uid="{00000000-0004-0000-0100-00000E000000}"/>
    <hyperlink ref="L18" r:id="rId16" xr:uid="{00000000-0004-0000-0100-00000F000000}"/>
    <hyperlink ref="L19" r:id="rId17" xr:uid="{00000000-0004-0000-0100-000010000000}"/>
    <hyperlink ref="L20" r:id="rId18" xr:uid="{00000000-0004-0000-0100-000011000000}"/>
    <hyperlink ref="L21" r:id="rId19" xr:uid="{00000000-0004-0000-0100-000012000000}"/>
    <hyperlink ref="L22" r:id="rId20" xr:uid="{00000000-0004-0000-0100-000013000000}"/>
    <hyperlink ref="L23" r:id="rId21" xr:uid="{00000000-0004-0000-0100-000014000000}"/>
    <hyperlink ref="L24" r:id="rId22" xr:uid="{00000000-0004-0000-0100-000015000000}"/>
    <hyperlink ref="L25" r:id="rId23" xr:uid="{00000000-0004-0000-0100-000016000000}"/>
    <hyperlink ref="L26" r:id="rId24" xr:uid="{00000000-0004-0000-0100-000017000000}"/>
    <hyperlink ref="L27" r:id="rId25" xr:uid="{00000000-0004-0000-0100-000018000000}"/>
    <hyperlink ref="L28" r:id="rId26" xr:uid="{00000000-0004-0000-0100-000019000000}"/>
    <hyperlink ref="L29" r:id="rId27" xr:uid="{00000000-0004-0000-0100-00001A000000}"/>
    <hyperlink ref="L30" r:id="rId28" xr:uid="{00000000-0004-0000-0100-00001B000000}"/>
    <hyperlink ref="L31" r:id="rId29" xr:uid="{00000000-0004-0000-0100-00001C000000}"/>
    <hyperlink ref="L32" r:id="rId30" xr:uid="{00000000-0004-0000-0100-00001D000000}"/>
    <hyperlink ref="L33" r:id="rId31" xr:uid="{00000000-0004-0000-0100-00001E000000}"/>
    <hyperlink ref="L34" r:id="rId32" xr:uid="{00000000-0004-0000-0100-00001F000000}"/>
    <hyperlink ref="L35" r:id="rId33" xr:uid="{00000000-0004-0000-0100-000020000000}"/>
    <hyperlink ref="L36" r:id="rId34" xr:uid="{00000000-0004-0000-0100-000021000000}"/>
    <hyperlink ref="L37" r:id="rId35" xr:uid="{00000000-0004-0000-0100-000022000000}"/>
    <hyperlink ref="L38" r:id="rId36" xr:uid="{00000000-0004-0000-0100-000023000000}"/>
    <hyperlink ref="L39" r:id="rId37" xr:uid="{00000000-0004-0000-0100-000024000000}"/>
    <hyperlink ref="L40" r:id="rId38" xr:uid="{00000000-0004-0000-0100-000025000000}"/>
    <hyperlink ref="L41" r:id="rId39" xr:uid="{00000000-0004-0000-0100-000026000000}"/>
    <hyperlink ref="L42" r:id="rId40" xr:uid="{00000000-0004-0000-0100-000027000000}"/>
    <hyperlink ref="L43" r:id="rId41" xr:uid="{00000000-0004-0000-0100-000028000000}"/>
    <hyperlink ref="L44" r:id="rId42" xr:uid="{00000000-0004-0000-0100-000029000000}"/>
    <hyperlink ref="L45" r:id="rId43" xr:uid="{00000000-0004-0000-0100-00002A000000}"/>
    <hyperlink ref="L46" r:id="rId44" xr:uid="{00000000-0004-0000-0100-00002B000000}"/>
    <hyperlink ref="L47" r:id="rId45" xr:uid="{00000000-0004-0000-0100-00002C000000}"/>
    <hyperlink ref="L48" r:id="rId46" xr:uid="{00000000-0004-0000-0100-00002D000000}"/>
    <hyperlink ref="L49" r:id="rId47" xr:uid="{00000000-0004-0000-0100-00002E000000}"/>
    <hyperlink ref="L50" r:id="rId48" xr:uid="{00000000-0004-0000-0100-00002F000000}"/>
    <hyperlink ref="L51" r:id="rId49" xr:uid="{00000000-0004-0000-0100-000030000000}"/>
    <hyperlink ref="L52" r:id="rId50" xr:uid="{00000000-0004-0000-0100-000031000000}"/>
    <hyperlink ref="L53" r:id="rId51" xr:uid="{00000000-0004-0000-0100-000032000000}"/>
    <hyperlink ref="L54" r:id="rId52" xr:uid="{00000000-0004-0000-0100-000033000000}"/>
    <hyperlink ref="L55" r:id="rId53" xr:uid="{00000000-0004-0000-0100-000034000000}"/>
    <hyperlink ref="L56" r:id="rId54" xr:uid="{00000000-0004-0000-0100-000035000000}"/>
    <hyperlink ref="L57" r:id="rId55" xr:uid="{00000000-0004-0000-0100-000036000000}"/>
    <hyperlink ref="L58" r:id="rId56" xr:uid="{00000000-0004-0000-0100-000037000000}"/>
    <hyperlink ref="L59" r:id="rId57" xr:uid="{00000000-0004-0000-0100-000038000000}"/>
    <hyperlink ref="L60" r:id="rId58" xr:uid="{00000000-0004-0000-0100-000039000000}"/>
    <hyperlink ref="L61" r:id="rId59" xr:uid="{00000000-0004-0000-0100-00003A000000}"/>
    <hyperlink ref="L62" r:id="rId60" xr:uid="{00000000-0004-0000-0100-00003B000000}"/>
    <hyperlink ref="L63" r:id="rId61" xr:uid="{00000000-0004-0000-0100-00003C000000}"/>
    <hyperlink ref="L64" r:id="rId62" xr:uid="{00000000-0004-0000-0100-00003D000000}"/>
    <hyperlink ref="L65" r:id="rId63" xr:uid="{00000000-0004-0000-0100-00003E000000}"/>
    <hyperlink ref="L66" r:id="rId64" xr:uid="{00000000-0004-0000-0100-00003F000000}"/>
    <hyperlink ref="L67" r:id="rId65" xr:uid="{00000000-0004-0000-0100-000040000000}"/>
    <hyperlink ref="L68" r:id="rId66" xr:uid="{00000000-0004-0000-0100-000041000000}"/>
    <hyperlink ref="L69" r:id="rId67" xr:uid="{00000000-0004-0000-0100-000042000000}"/>
    <hyperlink ref="L70" r:id="rId68" xr:uid="{00000000-0004-0000-0100-000043000000}"/>
    <hyperlink ref="C78" r:id="rId69" xr:uid="{00000000-0004-0000-0100-000044000000}"/>
    <hyperlink ref="C80" r:id="rId70" xr:uid="{00000000-0004-0000-0100-000045000000}"/>
    <hyperlink ref="C81" r:id="rId71" xr:uid="{00000000-0004-0000-0100-000046000000}"/>
  </hyperlinks>
  <pageMargins left="0.7" right="0.7" top="0.78740157499999996" bottom="0.78740157499999996" header="0.3" footer="0.3"/>
  <drawing r:id="rId72"/>
  <legacyDrawing r:id="rId73"/>
  <tableParts count="1">
    <tablePart r:id="rId74"/>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Ranking</vt:lpstr>
      <vt:lpstr>Ranking (Gap bereinigt)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Maik Schmitz</cp:lastModifiedBy>
  <dcterms:modified xsi:type="dcterms:W3CDTF">2026-05-27T03:47:36Z</dcterms:modified>
</cp:coreProperties>
</file>